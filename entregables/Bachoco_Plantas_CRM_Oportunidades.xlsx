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lantas vs CRM" sheetId="2" state="visible" r:id="rId4"/>
    <sheet name="Cuentas CRM y homologación" sheetId="3" state="visible" r:id="rId5"/>
    <sheet name="Casos fuente" sheetId="4" state="visible" r:id="rId6"/>
    <sheet name="Zona x Línea" sheetId="5" state="visible" r:id="rId7"/>
    <sheet name="Clasificación dudosa" sheetId="6" state="visible" r:id="rId8"/>
    <sheet name="Réplicas por validar" sheetId="7" state="visible" r:id="rId9"/>
    <sheet name="Reglas de homologación" sheetId="8" state="visible" r:id="rId10"/>
    <sheet name="Pendientes y preguntas" sheetId="9" state="visible" r:id="rId11"/>
    <sheet name="Oportunidades" sheetId="10" state="visible" r:id="rId12"/>
  </sheets>
  <definedNames>
    <definedName function="false" hidden="true" localSheetId="5" name="_xlnm._FilterDatabase" vbProcedure="false">'Clasificación dudosa'!$A$4:$I$26</definedName>
    <definedName function="false" hidden="true" localSheetId="2" name="_xlnm._FilterDatabase" vbProcedure="false">'Cuentas CRM y homologación'!$A$1:$AC$22</definedName>
    <definedName function="false" hidden="true" localSheetId="9" name="_xlnm._FilterDatabase" vbProcedure="false">Oportunidades!$A$1:$AC$71</definedName>
    <definedName function="false" hidden="true" localSheetId="1" name="_xlnm._FilterDatabase" vbProcedure="false">'Plantas vs CRM'!$A$1:$T$43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<sst xmlns="http://schemas.openxmlformats.org/spreadsheetml/2006/main" count="3419" uniqueCount="1154">
  <si>
    <t xml:space="preserve">Bachoco: plantas, cuentas en el CRM y oportunidades</t>
  </si>
  <si>
    <t xml:space="preserve">Cruce de las 21 cuentas Bachoco del CRM contra el inventario público de plantas, con el historial de oportunidades. Documento de trabajo del 15-oct-2026. Los casos se sustentan solo con oportunidades Elegibles (regla del programa). Los montos son potencial anual registrado, no facturación. Ninguna réplica está confirmada.</t>
  </si>
  <si>
    <t xml:space="preserve">Cuentas y plantas (se calculan de las otras hojas)</t>
  </si>
  <si>
    <t xml:space="preserve">Indicador</t>
  </si>
  <si>
    <t xml:space="preserve">Valor</t>
  </si>
  <si>
    <t xml:space="preserve">Cómo se lee</t>
  </si>
  <si>
    <t xml:space="preserve">Cuentas Bachoco dadas de alta en el CRM</t>
  </si>
  <si>
    <t xml:space="preserve">Las 21 que pasaste en el archivo Workspace_1.csv.</t>
  </si>
  <si>
    <t xml:space="preserve">  con sitio público confirmado por domicilio</t>
  </si>
  <si>
    <t xml:space="preserve">Incluye una cuenta duplicada de Culiacán.</t>
  </si>
  <si>
    <t xml:space="preserve">  con sitio público por confirmar</t>
  </si>
  <si>
    <t xml:space="preserve">Hay un sitio parecido (misma ciudad o mismo nombre de complejo), pero el domicilio no coincide o no está publicado.</t>
  </si>
  <si>
    <t xml:space="preserve">  sin sitio público identificado</t>
  </si>
  <si>
    <t xml:space="preserve">Ninguna fuente pública las confirma. No quiere decir que no existan.</t>
  </si>
  <si>
    <t xml:space="preserve">Filas de la lista pública de Bachoco</t>
  </si>
  <si>
    <t xml:space="preserve">Incluye 1 fila agregada (oficinas regionales de 9 ciudades) y 1 sitio no identificado. Bachoco no publica dónde están la mayoría de sus plantas de alimento e incubadoras.</t>
  </si>
  <si>
    <t xml:space="preserve">  con cuenta en el CRM</t>
  </si>
  <si>
    <t xml:space="preserve">Cruce por domicilio.</t>
  </si>
  <si>
    <t xml:space="preserve">  con cuenta por confirmar</t>
  </si>
  <si>
    <t xml:space="preserve">Cuenta parecida (misma ciudad o nombre); domicilio distinto o no publicado.</t>
  </si>
  <si>
    <t xml:space="preserve">  en el mismo municipio que otro sitio (predio por confirmar)</t>
  </si>
  <si>
    <t xml:space="preserve">Plantas de rendimiento (subproductos) registradas en SADER; comparten municipio con otro sitio (un rastro, o un complejo sin confirmar en Hermosillo); no se sabe si es el mismo predio.</t>
  </si>
  <si>
    <t xml:space="preserve">  sin cuenta en el CRM</t>
  </si>
  <si>
    <t xml:space="preserve">No todas son candidatas a dar de alta: ver la columna "Lectura para dar de alta".</t>
  </si>
  <si>
    <t xml:space="preserve">     de ellas, con fuente confirmada</t>
  </si>
  <si>
    <t xml:space="preserve">Incluye negocios que no son de aves (cerdo, huevo, CEDIS).</t>
  </si>
  <si>
    <t xml:space="preserve">  no aplica (fila agregada o sitio no identificado)</t>
  </si>
  <si>
    <t xml:space="preserve">Oportunidades en cuentas Bachoco</t>
  </si>
  <si>
    <t xml:space="preserve">Solo Elegible (regla del programa)</t>
  </si>
  <si>
    <t xml:space="preserve">Todo el CRM</t>
  </si>
  <si>
    <t xml:space="preserve">Oportunidades</t>
  </si>
  <si>
    <t xml:space="preserve">Ganadas + perdidas + abiertas. Con todo el CRM son 68 en 18 de las 21 cuentas.</t>
  </si>
  <si>
    <t xml:space="preserve">  Ganadas</t>
  </si>
  <si>
    <t xml:space="preserve">  Perdidas</t>
  </si>
  <si>
    <t xml:space="preserve">  Abiertas</t>
  </si>
  <si>
    <t xml:space="preserve">Foto de cartera; no se suman a las ganadas.</t>
  </si>
  <si>
    <t xml:space="preserve">Tasa de ganancia (ganadas / (ganadas + perdidas))</t>
  </si>
  <si>
    <t xml:space="preserve">Las abiertas no cuentan.</t>
  </si>
  <si>
    <t xml:space="preserve">Potencial anual de las ganadas, suma bruta (MXN)</t>
  </si>
  <si>
    <t xml:space="preserve">Potencial anual registrado, NO facturación; puede repetir el mismo negocio año con año.</t>
  </si>
  <si>
    <t xml:space="preserve">Potencial anual de las ganadas, sin posibles re-registros (MXN)</t>
  </si>
  <si>
    <t xml:space="preserve">Quita ganadas que repiten el monto de otra en la misma zona (pista, no confirmación).</t>
  </si>
  <si>
    <t xml:space="preserve">Última oportunidad ganada registrada</t>
  </si>
  <si>
    <t xml:space="preserve">Fecha de cierre más reciente entre las ganadas.</t>
  </si>
  <si>
    <t xml:space="preserve">Cifras que Bachoco declara (no son sitios; no sumar)</t>
  </si>
  <si>
    <t xml:space="preserve">Fuente y fecha</t>
  </si>
  <si>
    <t xml:space="preserve">Plantas procesadoras de pollo en México</t>
  </si>
  <si>
    <t xml:space="preserve">7</t>
  </si>
  <si>
    <t xml:space="preserve">Reporte Anual 2023 (BMV), al 31-dic-2023, publicado 2024-04/05 (fecha exacta ND): https://www.bmv.com.mx/docs-pub/infoanua/infoanua_1378033_2023_1.pdf. SENASICA 2024 muestra solo 6 rastros de aves de Bachoco. CONFIRMADO como cifra declarada.</t>
  </si>
  <si>
    <t xml:space="preserve">Plantas de alimento balanceado</t>
  </si>
  <si>
    <t xml:space="preserve">23 (Reporte Anual 2023); 22 (HIPÓTESIS)</t>
  </si>
  <si>
    <t xml:space="preserve">Reporte Anual 2023 (misma URL): CONFIRMADO como cifra declarada; el mismo documento dice 25 en el texto (incluye 2 en EUA). La cifra 22 viene del archivo previo GRUPOS_RANKING.csv, que la atribuye al Informe Anual 2024 (https://grupobachoco.com/wp-content/downloads/2025/Informe-Anual-2024-BMV.pdf, fecha de publicación ND): no pude reabrirlo; atribución no verificada. Ese mismo archivo da 10 procesadoras y 66 centros de distribución, que no cuadran con el Reporte Anual 2023 (7 y más de 100), así que podría ser un documento más antiguo.</t>
  </si>
  <si>
    <t xml:space="preserve">Incubadoras</t>
  </si>
  <si>
    <t xml:space="preserve">20 (Reporte Anual 2023); 23 (HIPÓTESIS)</t>
  </si>
  <si>
    <t xml:space="preserve">Reporte Anual 2023: CONFIRMADO como cifra declarada. La cifra 23 es del archivo previo GRUPOS_RANKING.csv (atribución no verificada, ver arriba). Otro archivo previo (COMPLEJOS_INTEGRADOS.csv) cita "aprox. 20 de alimento y 24 incubadoras" de fuentes más antiguas. Cifras en conflicto: no se eligió una.</t>
  </si>
  <si>
    <t xml:space="preserve">Plantas procesadoras de cerdos / empacadoras (valor agregado)</t>
  </si>
  <si>
    <t xml:space="preserve">4 / 4</t>
  </si>
  <si>
    <t xml:space="preserve">Reporte Anual 2023 (misma URL), al 31-dic-2023.</t>
  </si>
  <si>
    <t xml:space="preserve">Centros de distribución en México</t>
  </si>
  <si>
    <t xml:space="preserve">más de 100</t>
  </si>
  <si>
    <t xml:space="preserve">Reporte Anual 2023 y 1T25 (https://grupobachoco.com/wp-content/downloads/2025/1T25-BMV.pdf, 2025-04-25). Documentos anteriores dicen 66 y más de 80.</t>
  </si>
  <si>
    <t xml:space="preserve">Lo más importante</t>
  </si>
  <si>
    <t xml:space="preserve">1. [CONFIRMADO en el CRM] Bachoco tiene 68 oportunidades en 18 de las 21 cuentas (3 cuentas no tienen ninguna). Siguiendo la regla del programa solo cuentan las Elegibles: 46, de las que 31 son ganadas, 14 perdidas y 1 abierta, con tasa de ganancia de 69%. Su potencial anual registrado suma 10.6 millones de pesos bruto, o 9.3 millones quitando 3 posibles re-registros; no es venta facturada. Las otras 22 oportunidades (13 ganadas, 5 perdidas, 1 abierta y 3 sin decisión por ser posteriores al corte) no entran en el análisis y están en la hoja Clasificación dudosa. Con todo el CRM serían 44 ganadas, 19 perdidas y 5 abiertas.</t>
  </si>
  <si>
    <t xml:space="preserve">2. [CONFIRMADO: estatus y conteo; HIPÓTESIS: la línea de las 5 ganadas que solo dicen "PTI"] Con Elegibles, lo que se gana es la banda en V: 23 ganadas contra 2 perdidas. Manguera industrial: 5 y 1. Manguera hidráulica y neumática: 1 y 4. Bandas síncronas, de poliuretano y micro-V: 1 y 6. De las 23 ganadas de banda en V, 13 se clasificaron por abreviatura (PTI, V-Belts) y no por el sufijo de línea del CRM.</t>
  </si>
  <si>
    <t xml:space="preserve">3. [CONFIRMADO] El Bajío (Celaya) concentra 14 de las 31 ganadas Elegibles, 13 de banda en V y ninguna de manguera. Su última ganada es de junio de 2024 y 11 de esas 14 están a nombre de un propietario marcado inactivo en el CRM.</t>
  </si>
  <si>
    <t xml:space="preserve">4. [CONFIRMADO] Tecamachalco es la cuenta que sigue ganando: 10 ganadas Elegibles (banda en V y manguera industrial Plant Master), la más reciente de julio de 2026. 4 de las 5 ganadas Elegibles de manguera industrial son de Tecamachalco.</t>
  </si>
  <si>
    <t xml:space="preserve">5. [CONFIRMADO en el CRM; clasificación dudosa reportada, no cambiada] Culiacán (tu cuenta) tiene 6 ganadas en el CRM, 5 de manguera y 1 de banda en V, pero ninguna es Elegible: 5 quedaron Excluidas porque la cuenta está segmentada como OEM y 1 está en Revisar (cuenta duplicada, segmentación Corporate). Mientras no se corrija esa clasificación, Culiacán no puede sustentar un caso. Todas están en la hoja Clasificación dudosa.</t>
  </si>
  <si>
    <t xml:space="preserve">6. [CONFIRMADO; motivo no disponible] Noroeste (Obregón, Hermosillo y Mexicali): 6 perdidas Elegibles y ninguna ganada (7 perdidas con todo el CRM). Gómez Palacio: 1 perdida. El CRM no tiene campo de motivo de pérdida.</t>
  </si>
  <si>
    <t xml:space="preserve">7. [CONFIRMADO] Ganadas Elegibles por año de cierre: 2 en 2019, 9 en 2020, 5 en 2021, 5 en 2022, 4 en 2023, 4 en 2024, 1 en 2025, 1 en 2026 (2026 es parcial). No se sabe si bajó la actividad con Bachoco o solo la captura en el CRM.</t>
  </si>
  <si>
    <t xml:space="preserve">8. [CONFIRMADO: 6 rastros TIF de aves con fuente oficial, SENASICA 2024] Tres tienen cuenta en el CRM (Culiacán, Ciénega de Flores y Umán/Mérida), dos están por confirmar (Celaya, y el de Puebla, que el CRM llama Tecamachalco y SENASICA ubica en San Salvador Huixcolotla) y uno no tiene cuenta: Unión de San Antonio, el complejo "Lagos". [HIPÓTESIS: solo prensa] El 3 de mayo de 2026 hubo un incendio en una planta de Lagos de Moreno; no está confirmado que sea el mismo predio. [PENDIENTE] Su reapertura.</t>
  </si>
  <si>
    <t xml:space="preserve">9. [CONFIRMADO por domicilio / POR CONFIRMAR / PENDIENTE] De tus 21 cuentas, 6 se ligan a un sitio público por domicilio, 6 quedan por confirmar y 9 no se pudieron ligar a ninguno (3 de Celaya, 1 de Mérida, Tierra Blanca, Obregón-Navojoa, Gómez Palacio, San Luis Potosí y Mexicali). Eso no quiere decir que no existan: ninguna fuente pública las confirma.</t>
  </si>
  <si>
    <t xml:space="preserve">10. [CONFIRMADO por domicilio] La cuenta "Corp" SÍ es el corporativo: Av. Tecnológico 401, Ciudad Industrial, Celaya, igual al domicilio que Bachoco declara. Pero está registrada como End User; la segmentación "Corporate" está en una cuenta de planta de Culiacán.</t>
  </si>
  <si>
    <t xml:space="preserve">11. [CONFIRMADO: Reporte Anual 2023; HIPÓTESIS: las cifras de otro archivo previo y las ubicaciones] Bachoco declara 23 plantas de alimento y 20 incubadoras en el Reporte Anual 2023; un archivo previo del proyecto cita 22 y 23 que atribuye al Informe Anual 2024, que no pude reabrir (atribución no verificada). La lista pública ubica con municipio 4 plantas de alimento (confirmadas por CAMPI o boletín oficial) y 1 solo con estado (hipótesis), y 3 incubadoras (las 3 hipótesis; una es proyecto de 2015). Para saber cuáles faltan en el CRM hay que pedirlas a los distribuidores o a Bachoco.</t>
  </si>
  <si>
    <t xml:space="preserve">12. [CONFIRMADO en el CRM] Homologación: End Market está bien en 20 de 21 cuentas. Falla la subcategoría (5 vacías y 1 en Agriculture Equipment), la segmentación (3 cuentas distintas de End User, lo que dejó 7 ganadas, 4.2 millones bruto, fuera del programa: 6 Excluidas y 1 en Revisar) y 24 de las 68 oportunidades tienen un End Market distinto al de su cuenta.</t>
  </si>
  <si>
    <t xml:space="preserve">13. [HIPÓTESIS; dictamen del especialista en aplicaciones] Ninguna réplica candidata sale como "sí". R1 (banda en V del Bajío a Lagos): parcial, confianza media-baja. R2a (manguera industrial de Tecamachalco a Celaya; Culiacán solo como referencia porque no tiene oportunidades Elegibles): parcial solo para manguera industrial Plant Master, confianza media condicionada a reclasificar Culiacán; para hidráulica no se sostiene. R2b (la misma manguera a Ciénega de Flores): parcial y más débil, confianza baja-media, porque podría ser ampliación y no réplica. R3 (oportunidades que nombran a Optibelt, hacia el Noroeste): no sostenida. Antes de visitar cualquier destino hay que documentar en el origen en qué equipos va cada producto ganado, porque el CRM no lo registra.</t>
  </si>
  <si>
    <t xml:space="preserve">Hojas de este archivo</t>
  </si>
  <si>
    <t xml:space="preserve">Resumen</t>
  </si>
  <si>
    <t xml:space="preserve">Cifras clave y lo más importante.</t>
  </si>
  <si>
    <t xml:space="preserve">Plantas vs CRM</t>
  </si>
  <si>
    <t xml:space="preserve">Lista pública de sitios de Bachoco contra tus cuentas del CRM: cuáles ya tienes, cuáles faltan y dónde están.</t>
  </si>
  <si>
    <t xml:space="preserve">Cuentas CRM y homologación</t>
  </si>
  <si>
    <t xml:space="preserve">Tus 21 cuentas con lo que se detectó mal registrado y la propuesta de cómo dejarlas igual.</t>
  </si>
  <si>
    <t xml:space="preserve">Casos fuente</t>
  </si>
  <si>
    <t xml:space="preserve">Qué se ha ganado en Bachoco, por zona y por línea, y las 12 ganadas Elegibles de mayor potencial. Trae un selector: Solo Elegible o Todo el CRM.</t>
  </si>
  <si>
    <t xml:space="preserve">Zona x Línea</t>
  </si>
  <si>
    <t xml:space="preserve">Mapa de dónde se ha ganado, perdido o hay abierta cada línea (los ceros son zonas sin registro). Mismo selector.</t>
  </si>
  <si>
    <t xml:space="preserve">Clasificación dudosa</t>
  </si>
  <si>
    <t xml:space="preserve">Las 22 oportunidades que el programa no marcó Elegible (13 ganadas, 5 perdidas, 1 abierta y 3 sin decisión), con su motivo. Se reportan; no se cambiaron.</t>
  </si>
  <si>
    <t xml:space="preserve">Réplicas por validar</t>
  </si>
  <si>
    <t xml:space="preserve">Candidatas para llevar un caso ganado a otra planta, con lo que falta comprobar.</t>
  </si>
  <si>
    <t xml:space="preserve">Reglas de homologación</t>
  </si>
  <si>
    <t xml:space="preserve">Reglas propuestas para registrar igual las cuentas con el mismo End Market y subcategoría.</t>
  </si>
  <si>
    <t xml:space="preserve">Pendientes y preguntas</t>
  </si>
  <si>
    <t xml:space="preserve">Lo que no se pudo confirmar y quién puede responder.</t>
  </si>
  <si>
    <t xml:space="preserve">Las 70 oportunidades de Bachoco con su nomenclatura completa (base de todo lo anterior).</t>
  </si>
  <si>
    <t xml:space="preserve">Notas de método</t>
  </si>
  <si>
    <t xml:space="preserve">Fuentes. Cuentas: el archivo Workspace_1.csv que pasó Marcos (21 cuentas); no se guarda en el repositorio porque trae nombres, correos y teléfonos de contactos de Bachoco. Oportunidades: IR Opportunity Detail Analysis-_MXN.xlsx, hoja Datos_OPP (70 con "Bachoco" en la cuenta o en el nombre; 2 están capturadas en cuentas de distribuidor y no se cuentan). Decisión y motivo del programa: Base_Simbiosis.xlsx, hoja DETALLE (corte al 12-ago-2026; el archivo IR trae además registros posteriores, hasta al menos el 31-ago-2026, por eso 3 abiertas no tienen decisión). No se modificó ningún archivo original.</t>
  </si>
  <si>
    <t xml:space="preserve">Universo. Siguiendo la regla del programa, los casos se sustentan solo con oportunidades Elegible. Las hojas Zona x Línea y Casos fuente traen un selector para ver "Solo Elegible" (valor inicial) o "Todo el CRM". Las 22 oportunidades que no son Elegible (13 ganadas, 5 perdidas, 1 abierta Excluida y 3 sin decisión) están en la hoja Clasificación dudosa con el motivo del programa; no se cambió ninguna clasificación.</t>
  </si>
  <si>
    <t xml:space="preserve">Montos. Son potencial anual registrado en el CRM, no facturación. Varias ganadas repiten el mismo monto en la misma zona; por eso se muestra la suma bruta y la suma sin posibles re-registros (pista, no confirmación). Hay además montos idénticos entre zonas distintas y otra lectura posible: potencial por escalón. Ninguna cifra es venta real.</t>
  </si>
  <si>
    <t xml:space="preserve">Línea de producto. Se tomó de la nomenclatura de cada oportunidad: sufijo de línea del CRM o abreviatura, con el mapeo de la guía de alta de oportunidades de Gates (HID = FP-HYDRAULICS, MI = FP-IND HOSE &amp; CPLG, PTI = PT-V-BELTS); esa guía no está en el repositorio. 17 de las 30 ganadas de banda en V (todo el CRM) se clasificaron por abreviatura, 9 de ellas porque el nombre solo dice "PTI". No se infieren máquinas, números de parte ni intervalos de reemplazo.</t>
  </si>
  <si>
    <t xml:space="preserve">Competidores. Una marca nombrada en la nomenclatura (por ejemplo Optibelt) no prueba que haya sido una conversión: el prefijo 2.2 es el tipo de oportunidad y el CRM tipifica esas oportunidades como Replacement / Existing Business. Que hayan desplazado a esa marca es hipótesis. El CRM no tiene campo de motivo de ganar o perder: motivo no disponible.</t>
  </si>
  <si>
    <t xml:space="preserve">Los propietarios del CRM son históricos. Nadie debe recibir trabajo sin confirmar que sigue activo; los marcados "Inactive" no deben recibir trabajo y primero hay que designar quién recupera su expediente.</t>
  </si>
  <si>
    <t xml:space="preserve">Los nombres de región (31 Centro, 32 Pacífico, 33 Sureste, 34 Noreste, 35 Norte, 36 Península, 37 Noroeste, 38 Bajío) vienen de la hoja Team del archivo IR; el CRM de oportunidades solo trae el número. No se guardaron nombres, correos ni teléfonos de contactos de Bachoco en este archivo; están en el CRM. Etiquetas: CONFIRMADO = dato del CRM o fuente oficial citada; HIPÓTESIS = fuente débil o inferencia; PENDIENTE = sin dato.</t>
  </si>
  <si>
    <t xml:space="preserve">ID sitio</t>
  </si>
  <si>
    <t xml:space="preserve">Tipo de instalación</t>
  </si>
  <si>
    <t xml:space="preserve">Nombre público</t>
  </si>
  <si>
    <t xml:space="preserve">Municipio</t>
  </si>
  <si>
    <t xml:space="preserve">Estado</t>
  </si>
  <si>
    <t xml:space="preserve">Domicilio público</t>
  </si>
  <si>
    <t xml:space="preserve">Capacidad publicada</t>
  </si>
  <si>
    <t xml:space="preserve">Fuente (URL)</t>
  </si>
  <si>
    <t xml:space="preserve">Fecha de publicación de la fuente</t>
  </si>
  <si>
    <t xml:space="preserve">Verificación de la fuente</t>
  </si>
  <si>
    <t xml:space="preserve">¿Tenemos cuenta en el CRM?</t>
  </si>
  <si>
    <t xml:space="preserve">Cuenta(s) CRM relacionada(s)</t>
  </si>
  <si>
    <t xml:space="preserve">Base del cruce</t>
  </si>
  <si>
    <t xml:space="preserve">Ganadas (todo el CRM)</t>
  </si>
  <si>
    <t xml:space="preserve">Perdidas (todo el CRM)</t>
  </si>
  <si>
    <t xml:space="preserve">Abiertas (todo el CRM)</t>
  </si>
  <si>
    <t xml:space="preserve">Ganadas Elegibles</t>
  </si>
  <si>
    <t xml:space="preserve">Perdidas Elegibles</t>
  </si>
  <si>
    <t xml:space="preserve">Observaciones</t>
  </si>
  <si>
    <t xml:space="preserve">Lectura para dar de alta en el CRM</t>
  </si>
  <si>
    <t xml:space="preserve">BCH-001</t>
  </si>
  <si>
    <t xml:space="preserve">Oficina corporativa</t>
  </si>
  <si>
    <t xml:space="preserve">Oficinas corporativas Grupo Bachoco (Industrias Bachoco, S.A. de C.V.)</t>
  </si>
  <si>
    <t xml:space="preserve">Celaya</t>
  </si>
  <si>
    <t xml:space="preserve">Guanajuato</t>
  </si>
  <si>
    <t xml:space="preserve">Avenida Tecnológico No. 401, Ciudad Industrial, C.P. 38010</t>
  </si>
  <si>
    <t xml:space="preserve">ND</t>
  </si>
  <si>
    <t xml:space="preserve">https://www.bmv.com.mx/docs-pub/infoanua/infoanua_1378033_2023_1.pdf | https://www.bmv.com.mx/en/issuers/profile/BACHOCO-5113 | https://bachoco.com/aviso-de-privacidad.html | https://www.sec.gov/Archives/edgar/data/1044896/000141057822001105/iba-20211231x20f.htm</t>
  </si>
  <si>
    <t xml:space="preserve">2024-04/05 (fecha exacta ND) | ND (perfil sin fecha) | ND (aviso sin fecha; pie 2025) | 2022-04-29</t>
  </si>
  <si>
    <t xml:space="preserve">Confirmado</t>
  </si>
  <si>
    <t xml:space="preserve">Sí</t>
  </si>
  <si>
    <t xml:space="preserve">Bachoco S.A. de C.V. - Corp</t>
  </si>
  <si>
    <t xml:space="preserve">Domicilio coincide: Av. Tecnológico No. 401, Ciudad Industrial, CP 38010, Celaya (cuenta "Corp"). La verificó la lista pública con el Reporte Anual 2023, el perfil de la BMV y el aviso de privacidad de bachoco.com.</t>
  </si>
  <si>
    <t xml:space="preserve">La cuenta "Corp" SÍ es el corporativo por domicilio. Ojo: su segmentación en el CRM es End User; la segmentación "Corporate" está en una cuenta de Culiacán.</t>
  </si>
  <si>
    <t xml:space="preserve">-</t>
  </si>
  <si>
    <t xml:space="preserve">BCH-002</t>
  </si>
  <si>
    <t xml:space="preserve">Oficinas regionales (fila agregada)</t>
  </si>
  <si>
    <t xml:space="preserve">Oficinas regionales de ex complejos productivos (hoy Unidades de Negocio) - fila agregada de 9 ciudades</t>
  </si>
  <si>
    <t xml:space="preserve">Mérida; Coatzacoalcos; Tecamachalco; Celaya; Lagos de Moreno; Monterrey; Gómez Palacio; Culiacán; Hermosillo</t>
  </si>
  <si>
    <t xml:space="preserve">Yucatán; Veracruz; Puebla; Guanajuato; Jalisco; Nuevo León; Durango; Sinaloa; Sonora</t>
  </si>
  <si>
    <t xml:space="preserve">PENDIENTE</t>
  </si>
  <si>
    <t xml:space="preserve">https://www.bmv.com.mx/docs-pub/infoanua/infoanua_1378033_2023_1.pdf | https://www.sec.gov/Archives/edgar/data/1044896/000114420419021974/tv518925_20f.htm</t>
  </si>
  <si>
    <t xml:space="preserve">2024-04/05 (fecha exacta ND) | 2019-04-29</t>
  </si>
  <si>
    <t xml:space="preserve">No aplica (fila agregada)</t>
  </si>
  <si>
    <t xml:space="preserve">Fila agregada de 9 ciudades (Mérida, Coatzacoalcos, Tecamachalco, Celaya, Lagos de Moreno, Monterrey, Gómez Palacio, Culiacán, Hermosillo) donde Bachoco tenía oficinas de complejo; hoy son "Unidades de Negocio". No son oficinas corporativas y no publican domicilio. Hay cuentas del CRM en Mérida, Coatzacoalcos, Tecamachalco, Celaya, Gómez Palacio, Culiacán y Hermosillo; no se puede saber si alguna es la oficina.</t>
  </si>
  <si>
    <t xml:space="preserve">Vigencia a 2026 no verificada (fuentes de 2024 y 2019).</t>
  </si>
  <si>
    <t xml:space="preserve">BCH-010</t>
  </si>
  <si>
    <t xml:space="preserve">Procesadora de aves (rastro TIF)</t>
  </si>
  <si>
    <t xml:space="preserve">Rastro / planta procesadora de aves TIF A-363 (División Bajío)</t>
  </si>
  <si>
    <t xml:space="preserve">Km. 5 Carretera Celaya-Salamanca, Segunda Fracción de Crespo, C.P. 38020</t>
  </si>
  <si>
    <t xml:space="preserve">https://campo.nl.gob.mx/pdf/directorios/Directorio_TIF.pdf | https://www.am.com.mx/celaya/2023/3/1/drenaje-tapado-de-rastro-de-bachoco-causaria-malos-olores-en-celaya-649603.html | https://www.agricultura.gob.mx/sites/default/files/sagarpa/document/2025/12/04/2250/04122025-padron-plantas-rendimiento.csv</t>
  </si>
  <si>
    <t xml:space="preserve">2024 (año indicado en el documento; fecha exacta ND) | 2023-03-01 | 2025-12-04 (inferida de la ruta del URL)</t>
  </si>
  <si>
    <t xml:space="preserve">Por confirmar</t>
  </si>
  <si>
    <t xml:space="preserve">Bachoco, S.A. de  C.V. - Planta procesadora de aves Guanajuato - Guanajuato</t>
  </si>
  <si>
    <t xml:space="preserve">La cuenta "Planta procesadora de aves Guanajuato - Guanajuato" tiene domicilio "Av el Vergel, San Isidro Crespo" (CP 36003). Directorios comerciales ubican el rastro en "Parque Industrial El Vergel" y "San Isidro de Crespo", pero el domicilio oficial de SENASICA es Km 5 Carr. Celaya-Salamanca, Segunda Fracción de Crespo (CP 38020). El CP del CRM no coincide.</t>
  </si>
  <si>
    <t xml:space="preserve">Mismo nombre de lugar (Crespo / El Vergel), domicilio distinto: falta confirmar en visita. Es la cuenta con más ganadas (11 en todo el CRM, 10 Elegibles).</t>
  </si>
  <si>
    <t xml:space="preserve">BCH-011</t>
  </si>
  <si>
    <t xml:space="preserve">Rastro / planta procesadora de aves TIF A-183 (División Occidente, conocida como 'Lagos de Moreno')</t>
  </si>
  <si>
    <t xml:space="preserve">Unión de San Antonio</t>
  </si>
  <si>
    <t xml:space="preserve">Jalisco</t>
  </si>
  <si>
    <t xml:space="preserve">Carretera Lagos - U. de San Antonio Km. 13.5, Unión de San Antonio, C.P. 47570</t>
  </si>
  <si>
    <t xml:space="preserve">https://campo.nl.gob.mx/pdf/directorios/Directorio_TIF.pdf | https://www.agricultura.gob.mx/sites/default/files/sagarpa/document/2025/12/04/2250/04122025-padron-plantas-rendimiento.csv</t>
  </si>
  <si>
    <t xml:space="preserve">2024 (año indicado en el documento; fecha exacta ND) | 2025-12-04 (inferida de la ruta del URL)</t>
  </si>
  <si>
    <t xml:space="preserve">No</t>
  </si>
  <si>
    <t xml:space="preserve">No hay cuenta del CRM en Unión de San Antonio ni en Lagos de Moreno.</t>
  </si>
  <si>
    <t xml:space="preserve">La oportunidad O-00218689 "7.1 PCC C2B-Bachoco Lagos- Bamac Guadalajara" (perdida, 2020) está capturada en la cuenta de Celaya/Guanajuato, no en una cuenta propia de Lagos; que se refiera a este sitio es HIPÓTESIS (solo por el nombre). El 2026-05-03 hubo un incendio en una planta de Lagos de Moreno (ver BCH-012); no está confirmado que sea este predio.</t>
  </si>
  <si>
    <t xml:space="preserve">Fuente confirmada: candidato a dar de alta si interesa.</t>
  </si>
  <si>
    <t xml:space="preserve">BCH-012</t>
  </si>
  <si>
    <t xml:space="preserve">Procesadora de aves</t>
  </si>
  <si>
    <t xml:space="preserve">Planta Bachoco en Lagos de Moreno (siniestrada el 2026-05-03)</t>
  </si>
  <si>
    <t xml:space="preserve">Lagos de Moreno</t>
  </si>
  <si>
    <t xml:space="preserve">Autopista León-Aguascalientes, cruce con Ramal Paso de la Mesa (descripción de prensa citando a Protección Civil Jalisco; sin calle ni km)</t>
  </si>
  <si>
    <t xml:space="preserve">https://lasillarota.com/guanajuato/estado/2026/5/11/tras-incendio-en-planta-de-bachoco-trabajadores-son-reubicados-en-celaya-puebla-nl-598777.html | https://www.elfinanciero.com.mx/estados/2026/05/04/incendio-en-planta-de-bachoco-en-lagos-de-moreno-deja-3-personas-intoxicadas-esto-sabemos/ | https://www.milenio.com/comunidad/bachoco-suspende-operaciones-incendio-trabajadores-reubicados | https://www.unotv.com/estados/jalisco/fuego-devora-planta-de-bachoco-en-lagos-de-moreno-jalisco-videos/</t>
  </si>
  <si>
    <t xml:space="preserve">2026-05-11 | 2026-05-04 | 2026-05-05 | 2026-05-04</t>
  </si>
  <si>
    <t xml:space="preserve">Hipótesis</t>
  </si>
  <si>
    <t xml:space="preserve">No hay cuenta del CRM en Lagos de Moreno.</t>
  </si>
  <si>
    <t xml:space="preserve">Fuente: solo prensa. Posible duplicado de BCH-011: la ubicación descrita por la prensa (autopista León-Aguascalientes) no es la del TIF (carretera a Unión de San Antonio). Reapertura PENDIENTE.</t>
  </si>
  <si>
    <t xml:space="preserve">Posible duplicado de BCH-011: no dar de alta por separado.</t>
  </si>
  <si>
    <t xml:space="preserve">BCH-013</t>
  </si>
  <si>
    <t xml:space="preserve">Rastro / planta procesadora de aves TIF A-423 (Complejo Noreste / Monterrey)</t>
  </si>
  <si>
    <t xml:space="preserve">Ciénega de Flores</t>
  </si>
  <si>
    <t xml:space="preserve">Nuevo León</t>
  </si>
  <si>
    <t xml:space="preserve">Autopista Monterrey-Nuevo Laredo Km. 34+200, C.P. 65550</t>
  </si>
  <si>
    <t xml:space="preserve">BACHOCO SA de CV - Cienega de Flores</t>
  </si>
  <si>
    <t xml:space="preserve">Domicilio coincide en carretera y kilómetro: Autopista Monterrey-Nuevo Laredo Km 34 (CP 65555 en el CRM; 65550 en SENASICA).</t>
  </si>
  <si>
    <t xml:space="preserve">Cuenta creada el 6-abr-2026, con 1 ganada (jul-2026) y 1 abierta.</t>
  </si>
  <si>
    <t xml:space="preserve">BCH-014</t>
  </si>
  <si>
    <t xml:space="preserve">Rastro / planta procesadora de aves TIF A-326 (Complejo Sureste, 'Tecamachalco')</t>
  </si>
  <si>
    <t xml:space="preserve">San Salvador Huixcolotla</t>
  </si>
  <si>
    <t xml:space="preserve">Puebla</t>
  </si>
  <si>
    <t xml:space="preserve">Carretera Federal Puebla-Tehuacán Km. 53, San Salvador Huixcolotla, C.P. 75440</t>
  </si>
  <si>
    <t xml:space="preserve">Bachoco, S.A. De C.V. - Tecamachalco</t>
  </si>
  <si>
    <t xml:space="preserve">El predio oficial del rastro está en San Salvador Huixcolotla (Km 53 Puebla-Tehuacán, CP 75440); "Tecamachalco" es el nombre histórico del complejo. La cuenta del CRM dice Tecamachalco, Barrio de San Juan (CP 75484), domicilio que viene de directorios no oficiales.</t>
  </si>
  <si>
    <t xml:space="preserve">Misma operación por nombre de complejo, domicilio distinto. Falta confirmar en visita si la cuenta es el rastro de Huixcolotla.</t>
  </si>
  <si>
    <t xml:space="preserve">BCH-015</t>
  </si>
  <si>
    <t xml:space="preserve">Rastro / planta procesadora de aves TIF A-124 (Complejo Noroeste)</t>
  </si>
  <si>
    <t xml:space="preserve">Culiacán</t>
  </si>
  <si>
    <t xml:space="preserve">Sinaloa</t>
  </si>
  <si>
    <t xml:space="preserve">Carretera al Dorado Km. 13.5, Culiacán, C.P. 80100 (Apartado Postal 607)</t>
  </si>
  <si>
    <t xml:space="preserve">Bachoco S.A. de C.V. - Planta Culiacan | BACHOCO Planta Culiacan</t>
  </si>
  <si>
    <t xml:space="preserve">Domicilio coincide: Carretera al Dorado Km 13.5, Culiacán. Las dos cuentas del CRM de Culiacán tienen el mismo domicilio (CP 80300 y 80130; SENASICA 80100).</t>
  </si>
  <si>
    <t xml:space="preserve">Dos cuentas para el mismo sitio (una con segmentación OEM, otra Corporate).</t>
  </si>
  <si>
    <t xml:space="preserve">BCH-016</t>
  </si>
  <si>
    <t xml:space="preserve">Rastro / planta procesadora de aves TIF A-234 (Complejo Península)</t>
  </si>
  <si>
    <t xml:space="preserve">Mérida (SENASICA) / Umán (SADER y CP 97390)</t>
  </si>
  <si>
    <t xml:space="preserve">Yucatán</t>
  </si>
  <si>
    <t xml:space="preserve">Carr. Mérida-Umán Km. 14.5, C.P. 97390</t>
  </si>
  <si>
    <t xml:space="preserve">https://campo.nl.gob.mx/pdf/directorios/Directorio_TIF.pdf | https://www.agricultura.gob.mx/sites/default/files/sagarpa/document/2025/12/04/2250/04122025-padron-plantas-rendimiento.csv | https://www.poresto.com/yucatan/2026/2/16/joaquin-diaz-mena-impulsa-mayor-inversion-empresarial-para-generar-empleos-en-yucatan.html</t>
  </si>
  <si>
    <t xml:space="preserve">2024 (año indicado en el documento; fecha exacta ND) | 2025-12-04 (inferida de la ruta del URL) | 2026-02-16</t>
  </si>
  <si>
    <t xml:space="preserve">Industrias Bachoco S.A. de C.V. - Uman, Yucatan.</t>
  </si>
  <si>
    <t xml:space="preserve">Domicilio coincide: Carretera Mérida-Umán Km 14.5, CP 97390 (cuenta "Industrias Bachoco ... Umán"). SENASICA lo llama Mérida; el CP es de Umán.</t>
  </si>
  <si>
    <t xml:space="preserve">Mérida y Umán son el mismo rastro. La cuenta "Industrias Bachoco ... Mérida" (Calle Benito Juárez 21) NO es este domicilio.</t>
  </si>
  <si>
    <t xml:space="preserve">BCH-017</t>
  </si>
  <si>
    <t xml:space="preserve">Séptima planta procesadora de pollo declarada (no identificada)</t>
  </si>
  <si>
    <t xml:space="preserve">https://www.bmv.com.mx/docs-pub/infoanua/infoanua_1378033_2023_1.pdf</t>
  </si>
  <si>
    <t xml:space="preserve">2024-04/05 (fecha exacta ND)</t>
  </si>
  <si>
    <t xml:space="preserve">Pendiente</t>
  </si>
  <si>
    <t xml:space="preserve">No aplica</t>
  </si>
  <si>
    <t xml:space="preserve">Sitio no identificado.</t>
  </si>
  <si>
    <t xml:space="preserve">El Reporte Anual 2023 declara 7 plantas de pollo y SENASICA muestra 6 rastros de aves a nombre de Bachoco.</t>
  </si>
  <si>
    <t xml:space="preserve">BCH-018</t>
  </si>
  <si>
    <t xml:space="preserve">Complejo sin confirmar</t>
  </si>
  <si>
    <t xml:space="preserve">Complejo Hermosillo (planta procesadora de aves y/o planta de alimento: no confirmadas)</t>
  </si>
  <si>
    <t xml:space="preserve">Hermosillo</t>
  </si>
  <si>
    <t xml:space="preserve">Sonora</t>
  </si>
  <si>
    <t xml:space="preserve">https://www.bmv.com.mx/docs-pub/infoanua/infoanua_1378033_2023_1.pdf | https://www.agricultura.gob.mx/sites/default/files/sagarpa/document/2025/12/04/2250/04122025-padron-plantas-rendimiento.csv</t>
  </si>
  <si>
    <t xml:space="preserve">2024-04/05 (fecha exacta ND) | 2025-12-04 (inferida de la ruta del URL)</t>
  </si>
  <si>
    <t xml:space="preserve">Bchoco S.A. de C.V. - Planta Hermosillo</t>
  </si>
  <si>
    <t xml:space="preserve">La cuenta "Bchoco ... Hermosillo" (Carretera Sahurita Km 3.5, Parque Industrial, CP 83299, tal como está en el CRM) coincide en ciudad con el ex complejo Hermosillo. No hay domicilio verificado de la planta de aves.</t>
  </si>
  <si>
    <t xml:space="preserve">El CP 83299 es el mismo del rastro porcino TIF 66 de Norson (BCH-032): riesgo de mezclar sitios. Confirmar en visita qué instalación es.</t>
  </si>
  <si>
    <t xml:space="preserve">BCH-019</t>
  </si>
  <si>
    <t xml:space="preserve">Planta procesadora de aves Coatzacoalcos (Complejo Istmo): operación actual no confirmada</t>
  </si>
  <si>
    <t xml:space="preserve">Coatzacoalcos</t>
  </si>
  <si>
    <t xml:space="preserve">Veracruz</t>
  </si>
  <si>
    <t xml:space="preserve">https://www.bmv.com.mx/docs-pub/infoanua/infoanua_1378033_2023_1.pdf | https://rinacional.tecnm.mx/handle/TecNM/6281</t>
  </si>
  <si>
    <t xml:space="preserve">2024-04/05 (fecha exacta ND) | 2009-05</t>
  </si>
  <si>
    <t xml:space="preserve">Bachoco, S.A. de C.V. - Planta Coatzacoalcos</t>
  </si>
  <si>
    <t xml:space="preserve">La cuenta "Planta Coatzacoalcos" (Carretera Transístmica Km 7.5) coincide en ciudad con el ex complejo Coatzacoalcos. La única evidencia pública de operación es una tesis de 2009.</t>
  </si>
  <si>
    <t xml:space="preserve">Tiene 1 ganada (2024) y 1 perdida (2025) registradas en el CRM. Falta confirmar qué instalación es.</t>
  </si>
  <si>
    <t xml:space="preserve">BCH-020</t>
  </si>
  <si>
    <t xml:space="preserve">Planta de rendimiento (subproductos)</t>
  </si>
  <si>
    <t xml:space="preserve">Planta de rendimiento Bachoco - Celaya</t>
  </si>
  <si>
    <t xml:space="preserve">PENDIENTE (el padrón solo da municipio y CP 38010)</t>
  </si>
  <si>
    <t xml:space="preserve">https://www.agricultura.gob.mx/sites/default/files/sagarpa/document/2025/12/04/2250/04122025-padron-plantas-rendimiento.csv</t>
  </si>
  <si>
    <t xml:space="preserve">2025-12-04 (inferida de la ruta del URL)</t>
  </si>
  <si>
    <t xml:space="preserve">Mismo municipio que BCH-010; predio por confirmar</t>
  </si>
  <si>
    <t xml:space="preserve">Planta de rendimiento (subproductos) registrada en SADER en Celaya con CP 38010; el rastro BCH-010 tiene CP 38020. No se sabe si es el mismo predio.</t>
  </si>
  <si>
    <t xml:space="preserve">Las cuentas 2, 4 (Corp) y 6 del CRM también tienen CP 38010; no basta para ligarlas.</t>
  </si>
  <si>
    <t xml:space="preserve">BCH-021</t>
  </si>
  <si>
    <t xml:space="preserve">Planta de rendimiento Bachoco - Hermosillo ('planta sonora')</t>
  </si>
  <si>
    <t xml:space="preserve">PENDIENTE (el padrón solo da municipio y CP 83243)</t>
  </si>
  <si>
    <t xml:space="preserve">Mismo municipio que BCH-018; predio por confirmar</t>
  </si>
  <si>
    <t xml:space="preserve">Planta de rendimiento registrada en SADER en Hermosillo (CP 83243). BCH-018 (complejo Hermosillo) no está confirmado como planta de aves.</t>
  </si>
  <si>
    <t xml:space="preserve">BCH-022</t>
  </si>
  <si>
    <t xml:space="preserve">Planta de rendimiento Bachoco - Culiacán</t>
  </si>
  <si>
    <t xml:space="preserve">PENDIENTE (el padrón solo da municipio y CP 80110)</t>
  </si>
  <si>
    <t xml:space="preserve">Mismo municipio que BCH-015; predio por confirmar</t>
  </si>
  <si>
    <t xml:space="preserve">Planta de rendimiento registrada en SADER en Culiacán con CP 80110; el rastro BCH-015 tiene CP 80100. No se sabe si es el mismo predio.</t>
  </si>
  <si>
    <t xml:space="preserve">BCH-023</t>
  </si>
  <si>
    <t xml:space="preserve">Planta de rendimiento Bachoco - 'planta tecamachalco' (en Huixcolotla)</t>
  </si>
  <si>
    <t xml:space="preserve">PENDIENTE (el padrón solo da municipio y CP 75482)</t>
  </si>
  <si>
    <t xml:space="preserve">Mismo municipio que BCH-014; predio por confirmar</t>
  </si>
  <si>
    <t xml:space="preserve">Planta de rendimiento registrada en SADER en Huixcolotla con CP 75482; el rastro BCH-014 tiene CP 75440.</t>
  </si>
  <si>
    <t xml:space="preserve">BCH-024</t>
  </si>
  <si>
    <t xml:space="preserve">Planta de rendimiento Bachoco - 'planta lagos' (en Unión de San Antonio)</t>
  </si>
  <si>
    <t xml:space="preserve">PENDIENTE (el padrón solo da municipio y CP 47450)</t>
  </si>
  <si>
    <t xml:space="preserve">Mismo municipio que BCH-011; predio por confirmar</t>
  </si>
  <si>
    <t xml:space="preserve">Planta de rendimiento registrada en SADER en Unión de San Antonio con CP 47450; el rastro BCH-011 tiene CP 47570 (SENASICA). Dos fuentes oficiales dan CP distinto.</t>
  </si>
  <si>
    <t xml:space="preserve">BCH-025</t>
  </si>
  <si>
    <t xml:space="preserve">Planta de rendimiento Bachoco - 'planta nuevo leon' (Ciénega de Flores)</t>
  </si>
  <si>
    <t xml:space="preserve">PENDIENTE (el padrón solo da municipio y CP 65550)</t>
  </si>
  <si>
    <t xml:space="preserve">Mismo municipio que BCH-013; predio por confirmar</t>
  </si>
  <si>
    <t xml:space="preserve">Planta de rendimiento registrada en SADER en Ciénega de Flores con el mismo CP 65550 que el rastro. Mismo complejo probable (HIPÓTESIS por CP igual).</t>
  </si>
  <si>
    <t xml:space="preserve">BCH-026</t>
  </si>
  <si>
    <t xml:space="preserve">Planta de rendimiento Bachoco - Umán</t>
  </si>
  <si>
    <t xml:space="preserve">Umán</t>
  </si>
  <si>
    <t xml:space="preserve">PENDIENTE (el padrón solo da municipio y CP 97390)</t>
  </si>
  <si>
    <t xml:space="preserve">Mismo municipio que BCH-016; predio por confirmar</t>
  </si>
  <si>
    <t xml:space="preserve">Planta de rendimiento registrada en SADER en Umán con el mismo CP 97390 que el rastro. Mismo complejo probable (HIPÓTESIS por CP igual).</t>
  </si>
  <si>
    <t xml:space="preserve">BCH-030</t>
  </si>
  <si>
    <t xml:space="preserve">Planta porcina (rastro TIF)</t>
  </si>
  <si>
    <t xml:space="preserve">Rastro porcino TIF 57 - Sonora Agropecuaria, S.A. de C.V. (SASA)</t>
  </si>
  <si>
    <t xml:space="preserve">Navojoa</t>
  </si>
  <si>
    <t xml:space="preserve">Carretera México-Nogales Km. 1778, Col. Parque Industrial, C.P. 85895</t>
  </si>
  <si>
    <t xml:space="preserve">https://campo.nl.gob.mx/pdf/directorios/Directorio_TIF.pdf | https://www.bmv.com.mx/docs-pub/infoanua/infoanua_1378033_2023_1.pdf | https://bmeditores.mx/porcicultura/rastro-tif-de-sonora-fuera-de-operacion-por-polo-opormex-pide-respuesta-urgente/</t>
  </si>
  <si>
    <t xml:space="preserve">2024 (año indicado en el documento; fecha exacta ND) | 2024-04/05 (fecha exacta ND) | 2026-10-01</t>
  </si>
  <si>
    <t xml:space="preserve">Sin cuenta del CRM en Navojoa.</t>
  </si>
  <si>
    <t xml:space="preserve">Subsidiaria de Bachoco (Sonora Agropecuaria). No es de aves. No confundir con Grupo Kowi (otra empresa, también en Navojoa), cuyo rastro se inundó por el huracán Polo (nota de BM Editores, 2026-10-01); no hay reporte de efectos en la subsidiaria de Bachoco (pendiente).</t>
  </si>
  <si>
    <t xml:space="preserve">Fuente confirmada; es el negocio porcino (otra operación).</t>
  </si>
  <si>
    <t xml:space="preserve">BCH-031</t>
  </si>
  <si>
    <t xml:space="preserve">Rastro porcino TIF 467 - Sonora Agropecuaria, S.A. de C.V. (SASA)</t>
  </si>
  <si>
    <t xml:space="preserve">Atotonilco el Alto</t>
  </si>
  <si>
    <t xml:space="preserve">Km. 86.1 Carretera Guadalajara-La Piedad, municipio de Atotonilco el Alto, C.P. 47750</t>
  </si>
  <si>
    <t xml:space="preserve">https://campo.nl.gob.mx/pdf/directorios/Directorio_TIF.pdf | https://www.bmv.com.mx/docs-pub/infoanua/infoanua_1378033_2023_1.pdf</t>
  </si>
  <si>
    <t xml:space="preserve">2024 (año indicado en el documento; fecha exacta ND) | 2024-04/05 (fecha exacta ND)</t>
  </si>
  <si>
    <t xml:space="preserve">Sin cuenta del CRM en Atotonilco el Alto.</t>
  </si>
  <si>
    <t xml:space="preserve">Subsidiaria de Bachoco (Sonora Agropecuaria); rastro porcino.</t>
  </si>
  <si>
    <t xml:space="preserve">BCH-032</t>
  </si>
  <si>
    <t xml:space="preserve">Rastro porcino TIF 66 (Norson; razón social en SENASICA: Frigorífico Agropecuaria Sonorense, S. de R.L. de C.V.)</t>
  </si>
  <si>
    <t xml:space="preserve">Calle de la Plata S/N, Parque Industrial, C.P. 83299</t>
  </si>
  <si>
    <t xml:space="preserve">https://campo.nl.gob.mx/pdf/directorios/Directorio_TIF.pdf | https://en.grupobachoco.com/wp-content/downloads/2023/Bachoco-Norson-July-2023-ENG.pdf | https://expansion.mx/empresas/2023/07/12/bachoco-concluye-compra-norson-holding</t>
  </si>
  <si>
    <t xml:space="preserve">2024 (año indicado en el documento; fecha exacta ND) | 2023-07-12 | 2023-07-12</t>
  </si>
  <si>
    <t xml:space="preserve">Sin cuenta del CRM identificada como Norson.</t>
  </si>
  <si>
    <t xml:space="preserve">Pertenece a Bachoco desde la compra de Norson (jul-2023), pero la razón social en SENASICA no dice Norson: hipótesis.</t>
  </si>
  <si>
    <t xml:space="preserve">Evidencia débil: confirmar antes de dar de alta.</t>
  </si>
  <si>
    <t xml:space="preserve">BCH-033</t>
  </si>
  <si>
    <t xml:space="preserve">Rastro porcino/bovino TIF 62 (Norson; razón social en SENASICA: Promotora Comercial Alpro, S. de R.L. de C.V.)</t>
  </si>
  <si>
    <t xml:space="preserve">Boulevard de los Ganaderos S/N, Sector Industrial Presa, C.P. 83293</t>
  </si>
  <si>
    <t xml:space="preserve">https://campo.nl.gob.mx/pdf/directorios/Directorio_TIF.pdf | https://en.grupobachoco.com/wp-content/downloads/2023/Bachoco-Norson-July-2023-ENG.pdf</t>
  </si>
  <si>
    <t xml:space="preserve">2024 (año indicado en el documento; fecha exacta ND) | 2023-07-12</t>
  </si>
  <si>
    <t xml:space="preserve">Misma observación que BCH-032.</t>
  </si>
  <si>
    <t xml:space="preserve">BCH-040</t>
  </si>
  <si>
    <t xml:space="preserve">Valor agregado</t>
  </si>
  <si>
    <t xml:space="preserve">Trosi de Carne, S.A. de C.V. (Trosi)</t>
  </si>
  <si>
    <t xml:space="preserve">Monterrey</t>
  </si>
  <si>
    <t xml:space="preserve">Sin cuenta del CRM en Monterrey identificada como Trosi.</t>
  </si>
  <si>
    <t xml:space="preserve">Domicilio pendiente.</t>
  </si>
  <si>
    <t xml:space="preserve">BCH-041</t>
  </si>
  <si>
    <t xml:space="preserve">RYC Alimentos, S.A. de C.V. (2 plantas multiproteína)</t>
  </si>
  <si>
    <t xml:space="preserve">https://www.sec.gov/Archives/edgar/data/1044896/000141057822001105/iba-20211231x20f.htm | https://www.bmv.com.mx/docs-pub/infoanua/infoanua_1378033_2023_1.pdf</t>
  </si>
  <si>
    <t xml:space="preserve">2022-04-29 | 2024-04/05 (fecha exacta ND)</t>
  </si>
  <si>
    <t xml:space="preserve">Sin cuenta del CRM en Puebla identificada como RYC.</t>
  </si>
  <si>
    <t xml:space="preserve">RYC Alimentos pertenece a Bachoco desde ene-2022 (2 plantas multiproteína en Puebla); domicilios pendientes.</t>
  </si>
  <si>
    <t xml:space="preserve">BCH-042</t>
  </si>
  <si>
    <t xml:space="preserve">Alimento para mascotas</t>
  </si>
  <si>
    <t xml:space="preserve">Proveedora La Perla, S.A. de C.V. (alimento para mascotas)</t>
  </si>
  <si>
    <t xml:space="preserve">PENDIENTE (Querétaro)</t>
  </si>
  <si>
    <t xml:space="preserve">Querétaro</t>
  </si>
  <si>
    <t xml:space="preserve">https://www.bmv.com.mx/docs-pub/infoanua/infoanua_1378033_2023_1.pdf | https://www.sec.gov/Archives/edgar/data/1044896/000141057822001105/iba-20211231x20f.htm</t>
  </si>
  <si>
    <t xml:space="preserve">2024-04/05 (fecha exacta ND) | 2022-04-29</t>
  </si>
  <si>
    <t xml:space="preserve">Sin cuenta del CRM identificada como La Perla.</t>
  </si>
  <si>
    <t xml:space="preserve">Planta de alimento para mascotas en Querétaro; municipio y domicilio pendientes.</t>
  </si>
  <si>
    <t xml:space="preserve">BCH-050</t>
  </si>
  <si>
    <t xml:space="preserve">Alimento balanceado</t>
  </si>
  <si>
    <t xml:space="preserve">Planta CAMPI Mérida</t>
  </si>
  <si>
    <t xml:space="preserve">Mérida</t>
  </si>
  <si>
    <t xml:space="preserve">Calle 17 No. 400x20, Ciudad Industrial</t>
  </si>
  <si>
    <t xml:space="preserve">40 toneladas/hora</t>
  </si>
  <si>
    <t xml:space="preserve">https://campi-alimentos.com/plantas/ | https://campi-alimentos.com/nosotros/</t>
  </si>
  <si>
    <t xml:space="preserve">ND (sin fecha) | ND (sin fecha)</t>
  </si>
  <si>
    <t xml:space="preserve">Bachoco, S.A. de C.V. - Planta De Alimentos 1 Bachoco S.A. De C.V.</t>
  </si>
  <si>
    <t xml:space="preserve">La cuenta "Planta De Alimentos 1" (José María Castro SN, Ciudad Industrial, Mérida, CP 97288) coincide en tipo (alimento) y zona (Ciudad Industrial) con la planta CAMPI; las calles no coinciden (Calle 17 No. 400 x 20).</t>
  </si>
  <si>
    <t xml:space="preserve">Dos cuentas del CRM (la 15 y la 19) caen en la Ciudad Industrial de Mérida (CP 97288) y solo se conoce una planta pública ahí. Confirmar si son la misma.</t>
  </si>
  <si>
    <t xml:space="preserve">BCH-051</t>
  </si>
  <si>
    <t xml:space="preserve">Planta CAMPI Cuautla</t>
  </si>
  <si>
    <t xml:space="preserve">Cuautla</t>
  </si>
  <si>
    <t xml:space="preserve">Morelos</t>
  </si>
  <si>
    <t xml:space="preserve">Vía de FFCC México-Puebla No. 3, Col. Cuatlixco</t>
  </si>
  <si>
    <t xml:space="preserve">19 toneladas/hora</t>
  </si>
  <si>
    <t xml:space="preserve">https://campi-alimentos.com/plantas/</t>
  </si>
  <si>
    <t xml:space="preserve">ND (sin fecha)</t>
  </si>
  <si>
    <t xml:space="preserve">Bachoco S.A de C.V - Cuautla</t>
  </si>
  <si>
    <t xml:space="preserve">Mismo municipio, calle y número: CRM "México Puebla 3, Estrella, Cuautla" y CAMPI "Vía de FFCC México-Puebla No. 3, Col. Cuatlixco". La colonia no coincide.</t>
  </si>
  <si>
    <t xml:space="preserve">Cuenta sin oportunidades registradas. Es planta de alimento balanceado, no de aves. La página de CAMPI no tiene fecha: vigencia no verificada.</t>
  </si>
  <si>
    <t xml:space="preserve">BCH-052</t>
  </si>
  <si>
    <t xml:space="preserve">Planta CAMPI Chinameca</t>
  </si>
  <si>
    <t xml:space="preserve">Chinameca</t>
  </si>
  <si>
    <t xml:space="preserve">Calle Altamirano s/n</t>
  </si>
  <si>
    <t xml:space="preserve">20 toneladas/hora</t>
  </si>
  <si>
    <t xml:space="preserve">Sin cuenta del CRM en Chinameca.</t>
  </si>
  <si>
    <t xml:space="preserve">Es la presencia verificable de Bachoco en el Istmo; no hay evidencia pública de planta en Tierra Blanca.</t>
  </si>
  <si>
    <t xml:space="preserve">BCH-053</t>
  </si>
  <si>
    <t xml:space="preserve">Planta de Alimentos Grupo Bachoco (Operación Monterrey)</t>
  </si>
  <si>
    <t xml:space="preserve">Salinas Victoria</t>
  </si>
  <si>
    <t xml:space="preserve">https://www.nl.gob.mx/es/boletines/asiste-secretaria-de-medio-ambiente-presentacion-de-inversion-ambiental-de-grupo-bachoco | https://www.notimx.mx/2026/07/bachoco-impulsa-una-operacion-mas.html</t>
  </si>
  <si>
    <t xml:space="preserve">2026-07-22 | 2026-07-23</t>
  </si>
  <si>
    <t xml:space="preserve">Sin cuenta del CRM en Salinas Victoria.</t>
  </si>
  <si>
    <t xml:space="preserve">Proyecto ambiental de más de MXN 31 millones ejecutado o presentado en jul-2026 (boletín del Gobierno de Nuevo León); es de control ambiental, no de ampliación. Otra fuente (NotiMx) dice que el monto no se divulgó.</t>
  </si>
  <si>
    <t xml:space="preserve">BCH-054</t>
  </si>
  <si>
    <t xml:space="preserve">Planta Forrajera de Querétaro (CAMPI, división Bajío)</t>
  </si>
  <si>
    <t xml:space="preserve">https://campi-alimentos.com/nosotros/</t>
  </si>
  <si>
    <t xml:space="preserve">Sin cuenta del CRM en Querétaro.</t>
  </si>
  <si>
    <t xml:space="preserve">Solo un sitio de CAMPI menciona la planta forrajera de Querétaro; sin fecha ni domicilio.</t>
  </si>
  <si>
    <t xml:space="preserve">BCH-060</t>
  </si>
  <si>
    <t xml:space="preserve">Incubadora</t>
  </si>
  <si>
    <t xml:space="preserve">Planta incubadora Bachoco Chinameca (directorio comercial)</t>
  </si>
  <si>
    <t xml:space="preserve">Calle Altamirano s/n, Barrio La Maseca, C.P. 95980 (directorio comercial)</t>
  </si>
  <si>
    <t xml:space="preserve">https://directorioempresarialmexico.com/empresa/0006407911/PLANTA-INCUBADORA/ | https://pymes.org.mx/pyme/planta-incubadora-df85e4e0.html | https://campi-alimentos.com/plantas/</t>
  </si>
  <si>
    <t xml:space="preserve">ND | ND | ND (sin fecha)</t>
  </si>
  <si>
    <t xml:space="preserve">Solo directorios comerciales.</t>
  </si>
  <si>
    <t xml:space="preserve">BCH-061</t>
  </si>
  <si>
    <t xml:space="preserve">Incubadora Bachoco Celaya Gto. (página de Facebook)</t>
  </si>
  <si>
    <t xml:space="preserve">https://www.facebook.com/profile.php?id=516172941743278</t>
  </si>
  <si>
    <t xml:space="preserve">Sin cuenta del CRM identificada.</t>
  </si>
  <si>
    <t xml:space="preserve">Solo una página de Facebook.</t>
  </si>
  <si>
    <t xml:space="preserve">BCH-062</t>
  </si>
  <si>
    <t xml:space="preserve">Incubadora y complejo avícola Tekax (proyecto 2015-2016)</t>
  </si>
  <si>
    <t xml:space="preserve">Tekax</t>
  </si>
  <si>
    <t xml:space="preserve">https://www.elfinanciero.com.mx/empresas/bachoco-ve-en-yucatan-el-lugar-ideal-para-crecer-invertira-mil-mdp-en-dos-anos/</t>
  </si>
  <si>
    <t xml:space="preserve">2015 (fecha exacta ND; leído en extracto de buscador)</t>
  </si>
  <si>
    <t xml:space="preserve">Sin cuenta del CRM en Tekax.</t>
  </si>
  <si>
    <t xml:space="preserve">Proyecto de 2015; no hay evidencia de que se construyera.</t>
  </si>
  <si>
    <t xml:space="preserve">Proyecto de 2015 sin evidencia de que exista: no dar de alta.</t>
  </si>
  <si>
    <t xml:space="preserve">BCH-070</t>
  </si>
  <si>
    <t xml:space="preserve">Huevo</t>
  </si>
  <si>
    <t xml:space="preserve">Planta automatizada de huevo de plato (Bocampo / Poblado 6)</t>
  </si>
  <si>
    <t xml:space="preserve">Ahome</t>
  </si>
  <si>
    <t xml:space="preserve">Comunidad de Bocampo según sitio corporativo; 'Poblado 6, sindicatura Villa Gustavo Díaz Ordaz, El Carrizo' según prensa local (2021); sin calle</t>
  </si>
  <si>
    <t xml:space="preserve">https://en.grupobachoco.com/corporate/we-began-with-operations-in-new-bachocos-plant-at-ahome-sinaloa/ | https://www.lineadirectaportal.com/?p=444153</t>
  </si>
  <si>
    <t xml:space="preserve">ND (sin fecha) | 2021-12-23</t>
  </si>
  <si>
    <t xml:space="preserve">Sin cuenta del CRM en Ahome.</t>
  </si>
  <si>
    <t xml:space="preserve">Planta de huevo de plato. La página corporativa dio error 503 y no tiene fecha; vigencia no verificada.</t>
  </si>
  <si>
    <t xml:space="preserve">BCH-071</t>
  </si>
  <si>
    <t xml:space="preserve">Granjas de postura Bachoco en Gómez Palacio (complejo histórico de huevo)</t>
  </si>
  <si>
    <t xml:space="preserve">Gómez Palacio</t>
  </si>
  <si>
    <t xml:space="preserve">Durango</t>
  </si>
  <si>
    <t xml:space="preserve">https://www.scielo.org.mx/scielo.php?script=sci_arttext&amp;pid=S1870-39252009000300002 | https://www.gob.mx/cms/uploads/attachment/file/914964/DURANGO.pdf</t>
  </si>
  <si>
    <t xml:space="preserve">2009 (Región y Sociedad vol. 21 no. 46) | 2024 (ND exacta)</t>
  </si>
  <si>
    <t xml:space="preserve">Sin cuenta del CRM identificada como granja de postura.</t>
  </si>
  <si>
    <t xml:space="preserve">La cuenta de Gómez Palacio está en el Parque Industrial Lagunero; no hay evidencia pública que la ligue a este complejo.</t>
  </si>
  <si>
    <t xml:space="preserve">BCH-072</t>
  </si>
  <si>
    <t xml:space="preserve">Reproductoras</t>
  </si>
  <si>
    <t xml:space="preserve">Granjas reproductoras Akutzá-Pokol</t>
  </si>
  <si>
    <t xml:space="preserve">Peto</t>
  </si>
  <si>
    <t xml:space="preserve">Comisarías Justicia Social, Xpechil y Xoy (citadas en prensa); sin calle</t>
  </si>
  <si>
    <t xml:space="preserve">3000000 huevos/semana</t>
  </si>
  <si>
    <t xml:space="preserve">https://www.cronica.com.mx/nacional/vida-dosal-inaugura-nuevas-instalaciones-empresa-bachoco.html | https://elceo.com/investigaciones-especiales/bachoco-la-silenciosa-expansion-que-esta-depredando-la-selva-en-yucatan/</t>
  </si>
  <si>
    <t xml:space="preserve">2024-02-07 | 2026-01-22 (actualizado 2026-05-14)</t>
  </si>
  <si>
    <t xml:space="preserve">Sin cuenta del CRM en Peto.</t>
  </si>
  <si>
    <t xml:space="preserve">Inaugurada en feb-2024; estado actual pendiente.</t>
  </si>
  <si>
    <t xml:space="preserve">BCH-073</t>
  </si>
  <si>
    <t xml:space="preserve">Engorda</t>
  </si>
  <si>
    <t xml:space="preserve">Granjas Teya 5 y Teya 6 (Hacienda Teya)</t>
  </si>
  <si>
    <t xml:space="preserve">Kanasín</t>
  </si>
  <si>
    <t xml:space="preserve">https://elceo.com/investigaciones-especiales/bachoco-la-silenciosa-expansion-que-esta-depredando-la-selva-en-yucatan/</t>
  </si>
  <si>
    <t xml:space="preserve">2026-01-22 (actualizado 2026-05-14)</t>
  </si>
  <si>
    <t xml:space="preserve">Sin cuenta del CRM en Kanasín.</t>
  </si>
  <si>
    <t xml:space="preserve">Según el reportaje de El CEO (2026-01-22), Profepa clausuró estas granjas; solo prensa.</t>
  </si>
  <si>
    <t xml:space="preserve">Granjas clausuradas según un reportaje: no priorizar.</t>
  </si>
  <si>
    <t xml:space="preserve">BCH-080</t>
  </si>
  <si>
    <t xml:space="preserve">Centro de distribución</t>
  </si>
  <si>
    <t xml:space="preserve">Nuevo CEDIS Ciudad Obregón</t>
  </si>
  <si>
    <t xml:space="preserve">Cajeme (Ciudad Obregón)</t>
  </si>
  <si>
    <t xml:space="preserve">https://grupobachoco.com/corporativo/inauguramos-un-nuevo-cedis-en-ciudad-obregon-y-reafirmamos-nuestro-compromiso-con-la-region/</t>
  </si>
  <si>
    <t xml:space="preserve">ND (la barra lateral sugería 2025-07-04; sin verificar)</t>
  </si>
  <si>
    <t xml:space="preserve">Bachoco</t>
  </si>
  <si>
    <t xml:space="preserve">La cuenta "Bachoco" (Av. Internacional 1848, Cd. Obregón) coincide en municipio con el CEDIS; la fuente no da domicilio.</t>
  </si>
  <si>
    <t xml:space="preserve">Sus 2 oportunidades son perdidas (dic-2023 y may-2024). La fuente del CEDIS dio error 503 y no tiene fecha: vigencia no verificada. Confirmar qué instalación es.</t>
  </si>
  <si>
    <t xml:space="preserve">BCH-081</t>
  </si>
  <si>
    <t xml:space="preserve">Centro de distribución Tlalnepantla</t>
  </si>
  <si>
    <t xml:space="preserve">Tlalnepantla de Baz</t>
  </si>
  <si>
    <t xml:space="preserve">Estado de México</t>
  </si>
  <si>
    <t xml:space="preserve">https://expansion.mx/expansion/2011/09/14/un-pollo-de-pelea</t>
  </si>
  <si>
    <t xml:space="preserve">2011-09-20</t>
  </si>
  <si>
    <t xml:space="preserve">Sin cuenta del CRM en Tlalnepantla.</t>
  </si>
  <si>
    <t xml:space="preserve">Fuente de 2011; vigencia no verificada.</t>
  </si>
  <si>
    <t xml:space="preserve">BCH-082</t>
  </si>
  <si>
    <t xml:space="preserve">3 centros de distribución en Baja California Sur (origen MACSA) - fila de 3 centros</t>
  </si>
  <si>
    <t xml:space="preserve">Baja California Sur</t>
  </si>
  <si>
    <t xml:space="preserve">https://www.bmv.com.mx/docs-pub/infoanua/infoanua_1378033_2023_1.pdf | https://grupobachoco.com/wp-content/downloads/2022/Informe_Sustentabilidad_2021.pdf</t>
  </si>
  <si>
    <t xml:space="preserve">2024-04/05 (fecha exacta ND) | 2022 (fecha exacta ND)</t>
  </si>
  <si>
    <t xml:space="preserve">Sin cuenta del CRM en Baja California Sur.</t>
  </si>
  <si>
    <t xml:space="preserve">Municipios pendientes.</t>
  </si>
  <si>
    <t xml:space="preserve">BCH-090</t>
  </si>
  <si>
    <t xml:space="preserve">Laboratorio</t>
  </si>
  <si>
    <t xml:space="preserve">Laboratorio de vacunas y farmacéuticos veterinarios (PEC LAB; posible vínculo con Pecuarius, no confirmado)</t>
  </si>
  <si>
    <t xml:space="preserve">https://www.bmv.com.mx/docs-pub/infoanua/infoanua_1378033_2023_1.pdf | https://bmeditores.mx/avicultura/reconocen-a-grupo-bachoco-en-personalidad-del-sector-pecuario/</t>
  </si>
  <si>
    <t xml:space="preserve">2024-04/05 (fecha exacta ND) | 2025-03-12</t>
  </si>
  <si>
    <t xml:space="preserve">Sin cuenta del CRM identificada como laboratorio.</t>
  </si>
  <si>
    <t xml:space="preserve">Ubicación pendiente.</t>
  </si>
  <si>
    <t xml:space="preserve">Sin ubicación publicada.</t>
  </si>
  <si>
    <t xml:space="preserve">N°</t>
  </si>
  <si>
    <t xml:space="preserve">Cuenta en el CRM (nombre actual)</t>
  </si>
  <si>
    <t xml:space="preserve">Municipio (según domicilio)</t>
  </si>
  <si>
    <t xml:space="preserve">Zona</t>
  </si>
  <si>
    <t xml:space="preserve">Domicilio registrado en el CRM</t>
  </si>
  <si>
    <t xml:space="preserve">Propietario CRM (histórico)</t>
  </si>
  <si>
    <t xml:space="preserve">Propietarios que aparecen en sus oportunidades</t>
  </si>
  <si>
    <t xml:space="preserve">Segmentación actual</t>
  </si>
  <si>
    <t xml:space="preserve">End Market actual</t>
  </si>
  <si>
    <t xml:space="preserve">Subcategoría actual</t>
  </si>
  <si>
    <t xml:space="preserve">Industria primaria actual</t>
  </si>
  <si>
    <t xml:space="preserve">Fecha de creación</t>
  </si>
  <si>
    <t xml:space="preserve">Creada por</t>
  </si>
  <si>
    <t xml:space="preserve">Contacto principal registrado</t>
  </si>
  <si>
    <t xml:space="preserve">Última ganada (todo el CRM)</t>
  </si>
  <si>
    <t xml:space="preserve">Problemas detectados (todos CONFIRMADO en el CRM)</t>
  </si>
  <si>
    <t xml:space="preserve">Sitio público asociado (ver hoja Plantas vs CRM)</t>
  </si>
  <si>
    <t xml:space="preserve">Base del cruce con el sitio público</t>
  </si>
  <si>
    <t xml:space="preserve">PROPUESTA: nombre</t>
  </si>
  <si>
    <t xml:space="preserve">PROPUESTA: End Market</t>
  </si>
  <si>
    <t xml:space="preserve">PROPUESTA: Subcategoría</t>
  </si>
  <si>
    <t xml:space="preserve">PROPUESTA: Segmentación</t>
  </si>
  <si>
    <t xml:space="preserve">Acción sugerida y quién decide</t>
  </si>
  <si>
    <t xml:space="preserve">Ciudad Obregón</t>
  </si>
  <si>
    <t xml:space="preserve">Noroeste (Sonora/BC)</t>
  </si>
  <si>
    <t xml:space="preserve">Internacional 1848, 85065 Ciudad Obregón, Sonora,85065 CIUDAD OBREGON, SONORA,MEXICO</t>
  </si>
  <si>
    <t xml:space="preserve">Cesar Vázquez</t>
  </si>
  <si>
    <t xml:space="preserve">Johnatan Inactive Murillo</t>
  </si>
  <si>
    <t xml:space="preserve">End User</t>
  </si>
  <si>
    <t xml:space="preserve">Food &amp; Beverage</t>
  </si>
  <si>
    <t xml:space="preserve">Manufacturing - Food Processing</t>
  </si>
  <si>
    <t xml:space="preserve">(vacío)</t>
  </si>
  <si>
    <t xml:space="preserve">10-3-2023 12:20 PM</t>
  </si>
  <si>
    <t xml:space="preserve">Johnatan.MurilloVelarde</t>
  </si>
  <si>
    <t xml:space="preserve">Propietario no aparece en la hoja Team del archivo IR: confirmar vigencia; Sin contacto principal; Sin correo del contacto principal; Sin teléfono</t>
  </si>
  <si>
    <t xml:space="preserve">Por confirmar. La cuenta "Bachoco" (Av. Internacional 1848, Cd. Obregón) coincide en municipio con el CEDIS; la fuente no da domicilio.</t>
  </si>
  <si>
    <t xml:space="preserve">Bachoco, S.A. de C.V. - Ciudad Obregón</t>
  </si>
  <si>
    <t xml:space="preserve">Confirmar con quien la lleva (su propietario no aparece en la hoja Team) qué instalación es; revisar si es duplicada de la cuenta 8. Decide: dueño de la cuenta y administrador del CRM.</t>
  </si>
  <si>
    <t xml:space="preserve">BACHOCO S.A. DE C.V.</t>
  </si>
  <si>
    <t xml:space="preserve">Bajío (Celaya)</t>
  </si>
  <si>
    <t xml:space="preserve">Av. Norte 11 Esq. Poniente 4 Cd. Industrial Celaya, Gto.,38010 CELAYA GTO, GUANAJUATO,MEXICO</t>
  </si>
  <si>
    <t xml:space="preserve">Ulises Sanchez</t>
  </si>
  <si>
    <t xml:space="preserve">Froylan Santiago Inactive Alcántara</t>
  </si>
  <si>
    <t xml:space="preserve">6-1-2021 09:30 AM</t>
  </si>
  <si>
    <t xml:space="preserve">DATA.MIGRATION</t>
  </si>
  <si>
    <t xml:space="preserve">Sin sitio público identificado</t>
  </si>
  <si>
    <t xml:space="preserve">Misma Ciudad Industrial de Celaya que la oficina corporativa (BCH-001), pero otro domicilio (Av. Norte 11 esq. Poniente 4). Ninguna fuente pública ubica una instalación ahí.</t>
  </si>
  <si>
    <t xml:space="preserve">Bachoco, S.A. de C.V. - Celaya - [tipo por confirmar]</t>
  </si>
  <si>
    <t xml:space="preserve">Preguntar a quien lleva la cuenta (propietario en el CRM: Ulises Sánchez; confirmar que sigue activo) si es un sitio distinto o duplicado de la cuenta Corp. Comparte contacto principal con Corp y con la cuenta 6. La planta de rendimiento BCH-020 tiene el mismo CP 38010, pero eso no basta para ligarla.</t>
  </si>
  <si>
    <t xml:space="preserve">Tecamachalco</t>
  </si>
  <si>
    <t xml:space="preserve">Puebla (Tecamachalco)</t>
  </si>
  <si>
    <t xml:space="preserve">México 150, Barrio de San Juan,,75484 TECAMACHALCO, PUEBLA,MEXICO</t>
  </si>
  <si>
    <t xml:space="preserve">Eliasib Luna</t>
  </si>
  <si>
    <t xml:space="preserve">Eliasib Luna; Alejandro Avila</t>
  </si>
  <si>
    <t xml:space="preserve">6-1-2021 09:39 AM</t>
  </si>
  <si>
    <t xml:space="preserve">Por confirmar. El predio oficial del rastro está en San Salvador Huixcolotla (Km 53 Puebla-Tehuacán, CP 75440); "Tecamachalco" es el nombre histórico del complejo. La cuenta del CRM dice Tecamachalco, Barrio de San Juan (CP 75484), domicilio que viene de directorios no oficiales.</t>
  </si>
  <si>
    <t xml:space="preserve">Bachoco, S.A. de C.V. - Tecamachalco (o San Salvador Huixcolotla si se confirma que es el rastro)</t>
  </si>
  <si>
    <t xml:space="preserve">Confirmar en visita el domicilio real del sitio atendido. Es la cuenta con ganadas más recientes (jul-2026).</t>
  </si>
  <si>
    <t xml:space="preserve">Av. Tecnológico N° 401, Ciudad Industrial,38010 CELAYA, GUANAJUATO,MEXICO</t>
  </si>
  <si>
    <t xml:space="preserve">6-1-2021 09:45 AM</t>
  </si>
  <si>
    <t xml:space="preserve">Sí. Domicilio coincide: Av. Tecnológico No. 401, Ciudad Industrial, CP 38010, Celaya (cuenta "Corp"). La verificó la lista pública con el Reporte Anual 2023, el perfil de la BMV y el aviso de privacidad de bachoco.com.</t>
  </si>
  <si>
    <t xml:space="preserve">Bachoco, S.A. de C.V. - Celaya - Corporativo</t>
  </si>
  <si>
    <t xml:space="preserve">Dejar como cuenta corporativa. Pregunta para el administrador del CRM: ¿la segmentación correcta de una cuenta corporativa es "Corporate" o "End User"? Hoy la de Culiacán dice Corporate y esta dice End User.</t>
  </si>
  <si>
    <t xml:space="preserve">Bachoco S.A. De C.V. - Veracruz</t>
  </si>
  <si>
    <t xml:space="preserve">Tierra Blanca</t>
  </si>
  <si>
    <t xml:space="preserve">Tierra Blanca-Sayula de Alemán, 5151 Centro,95150 TIERRA BLANCA, VERACRUZ,MEXICO</t>
  </si>
  <si>
    <t xml:space="preserve">6-1-2021 09:44 AM</t>
  </si>
  <si>
    <t xml:space="preserve">Subcategoría de End Market vacía</t>
  </si>
  <si>
    <t xml:space="preserve">Sin sitio público identificado (PEN-03)</t>
  </si>
  <si>
    <t xml:space="preserve">Ninguna fuente pública ubica una instalación de Bachoco en Tierra Blanca; el TIF de Tierra Blanca es de otra empresa. Sí hay planta CAMPI en Chinameca, Veracruz.</t>
  </si>
  <si>
    <t xml:space="preserve">Bachoco, S.A. de C.V. - Tierra Blanca</t>
  </si>
  <si>
    <t xml:space="preserve">Confirmar qué instalación es (3 ganadas con RYASA Veracruz y SNR Córdoba). Falta Subcategoría de End Market.</t>
  </si>
  <si>
    <t xml:space="preserve">Bachoco S.A. de C.V - Guanajuato</t>
  </si>
  <si>
    <t xml:space="preserve">Norte II 2, Cd Industrial de Celaya,38010 CELAYA, GUANAJUATO,MEXICO</t>
  </si>
  <si>
    <t xml:space="preserve">Ulises Sanchez; Froylan Santiago Inactive Alcántara</t>
  </si>
  <si>
    <t xml:space="preserve">6-1-2021 09:29 AM</t>
  </si>
  <si>
    <t xml:space="preserve">Misma Ciudad Industrial de Celaya que BCH-001; otro domicilio (Norte II 2). Mismo contacto principal que Corp y la cuenta 2.</t>
  </si>
  <si>
    <t xml:space="preserve">Validar si es duplicada de Corp o de la cuenta 2; si lo es, unir conservando sus 3 ganadas. La planta de rendimiento BCH-020 tiene el mismo CP 38010, pero eso no basta para ligarla.</t>
  </si>
  <si>
    <t xml:space="preserve">CARR TRANSISTMICA KM 7.5,96400 COATZACOALCOS, VERACRUZ,MEXICO</t>
  </si>
  <si>
    <t xml:space="preserve">Alejandro Avila</t>
  </si>
  <si>
    <t xml:space="preserve">Por confirmar. La cuenta "Planta Coatzacoalcos" (Carretera Transístmica Km 7.5) coincide en ciudad con el ex complejo Coatzacoalcos. La única evidencia pública de operación es una tesis de 2009.</t>
  </si>
  <si>
    <t xml:space="preserve">Bachoco, S.A. de C.V. - Coatzacoalcos</t>
  </si>
  <si>
    <t xml:space="preserve">Confirmar qué instalación es (no hay evidencia pública reciente; el Reporte Anual 2023 la lista como ex complejo con oficina, BCH-002, sin domicilio público). Falta Subcategoría de End Market. Propietario de la cuenta (Alejandro Avila) distinto al de sus oportunidades (Eliasib Luna): definir uno.</t>
  </si>
  <si>
    <t xml:space="preserve">Bachoco, Planta Procesadora De Alimentos</t>
  </si>
  <si>
    <t xml:space="preserve">Cd Obregón - Navojoa, 85065,85150 CIUDAD OBREGÓN, SONORA,MEXICO</t>
  </si>
  <si>
    <t xml:space="preserve">Dan Weller</t>
  </si>
  <si>
    <t xml:space="preserve">Agriculture</t>
  </si>
  <si>
    <t xml:space="preserve">Agriculture Equipment</t>
  </si>
  <si>
    <t xml:space="preserve">15-4-2026 08:35 AM</t>
  </si>
  <si>
    <t xml:space="preserve">oicintegration.prod</t>
  </si>
  <si>
    <t xml:space="preserve">End Market distinto a Food &amp; Beverage (Agriculture / Agriculture Equipment); Propietario no aparece en la hoja Team del archivo IR: confirmar vigencia; Sin oportunidades registradas</t>
  </si>
  <si>
    <t xml:space="preserve">Domicilio "Cd. Obregón-Navojoa" es genérico. Creada por integración el 15-abr-2026 con End Market Agriculture. No se pudo ligar a un sitio público (Navojoa tiene un rastro porcino de una subsidiaria, BCH-030; sin confirmar).</t>
  </si>
  <si>
    <t xml:space="preserve">Bachoco, S.A. de C.V. - Ciudad Obregón - [tipo por confirmar]</t>
  </si>
  <si>
    <t xml:space="preserve">Validar si es duplicada de la cuenta 1. Corregir End Market a Food &amp; Beverage si se mantiene. Propietario (Dan Weller) no aparece en la hoja Team.</t>
  </si>
  <si>
    <t xml:space="preserve">Bachoco S.A. de C.V. - Planta Gomez Palacio</t>
  </si>
  <si>
    <t xml:space="preserve">Durango (Gómez Palacio)</t>
  </si>
  <si>
    <t xml:space="preserve">Cuarta 438, Parque Industrial Lagunero, 35078 Gómez Palacio, Dgo.,, Gomez Palacio,35078 GOMEZ PALACIO, DURANGO,MEXICO</t>
  </si>
  <si>
    <t xml:space="preserve">Jose Osbaldo Rodriguez Hernandez</t>
  </si>
  <si>
    <t xml:space="preserve">Armando Inactive Hernández; Jose Osbaldo Rodriguez Hernandez</t>
  </si>
  <si>
    <t xml:space="preserve">9-2-2023 11:31 PM</t>
  </si>
  <si>
    <t xml:space="preserve">jonathan.gomez</t>
  </si>
  <si>
    <t xml:space="preserve">Sin sitio público identificado (PEN-04)</t>
  </si>
  <si>
    <t xml:space="preserve">Bachoco no tiene TIF en Durango; los TIF de Gómez Palacio son de Pilgrim's Pride. El domicilio del CRM está en el Parque Industrial Lagunero.</t>
  </si>
  <si>
    <t xml:space="preserve">Bachoco, S.A. de C.V. - Gómez Palacio</t>
  </si>
  <si>
    <t xml:space="preserve">Confirmar qué instalación es antes de invertir tiempo. No confundir con Pilgrim's. Tiene la abierta 812577 "7.1 / TPU / Bachoco / BRR Torreón" (región 35). El Reporte Anual 2023 lista Gómez Palacio como ex complejo con oficina (BCH-002), sin domicilio público.</t>
  </si>
  <si>
    <t xml:space="preserve">Bachoco S.A. de C.V. - Planta Culiacan</t>
  </si>
  <si>
    <t xml:space="preserve">Sinaloa (Culiacán)</t>
  </si>
  <si>
    <t xml:space="preserve">Carretera al Dorado Km 13.5,Quemadito, Culiacan,80300 CULIACAN, SINALOA,MEXICO</t>
  </si>
  <si>
    <t xml:space="preserve">Marcos Arevalo</t>
  </si>
  <si>
    <t xml:space="preserve">OEM</t>
  </si>
  <si>
    <t xml:space="preserve">1-10-2021 12:23 PM</t>
  </si>
  <si>
    <t xml:space="preserve">marcos.arevalo</t>
  </si>
  <si>
    <t xml:space="preserve">Segmentación 'OEM' (la mayoría de las cuentas Bachoco es End User)</t>
  </si>
  <si>
    <t xml:space="preserve">Sí. Domicilio coincide: Carretera al Dorado Km 13.5, Culiacán. Las dos cuentas del CRM de Culiacán tienen el mismo domicilio (CP 80300 y 80130; SENASICA 80100).</t>
  </si>
  <si>
    <t xml:space="preserve">Bachoco, S.A. de C.V. - Culiacán</t>
  </si>
  <si>
    <t xml:space="preserve">Cuenta de Marcos. Cambiar segmentación OEM a End User si se confirma que usa el producto en su proceso; con OEM el programa dejó fuera 5 ganadas. Decide: Marcos.</t>
  </si>
  <si>
    <t xml:space="preserve">Nuevo León (Ciénega de Flores)</t>
  </si>
  <si>
    <t xml:space="preserve">Autop. Monterrey - Nuevo laredo 34,Centro de Cienega de Flores, Cienega de Flores,65555 CIENEGA DE FLORES, NUEVO LEÓN,MEXICO</t>
  </si>
  <si>
    <t xml:space="preserve">Emmanuel Quintanilla</t>
  </si>
  <si>
    <t xml:space="preserve">Exporter/Trading Company</t>
  </si>
  <si>
    <t xml:space="preserve">6-4-2026 08:35 AM</t>
  </si>
  <si>
    <t xml:space="preserve">emmanuel.quintanilla</t>
  </si>
  <si>
    <t xml:space="preserve">Segmentación 'Exporter/Trading Company' (la mayoría de las cuentas Bachoco es End User)</t>
  </si>
  <si>
    <t xml:space="preserve">Sí. Domicilio coincide en carretera y kilómetro: Autopista Monterrey-Nuevo Laredo Km 34 (CP 65555 en el CRM; 65550 en SENASICA).</t>
  </si>
  <si>
    <t xml:space="preserve">Bachoco, S.A. de C.V. - Ciénega de Flores</t>
  </si>
  <si>
    <t xml:space="preserve">Segmentación "Exporter/Trading Company" dejó fuera su ganada de jul-2026 ("Segmento intermediario"). Cambiar a End User si se confirma. Decide el propietario de la cuenta en el CRM (Emmanuel Quintanilla; confirmar vigencia).</t>
  </si>
  <si>
    <t xml:space="preserve">BACHOCO Planta Culiacan</t>
  </si>
  <si>
    <t xml:space="preserve">Carretera el Dorado Km. 13,5,Quemadito, Culiacan,80130 CULIACAN, SINALOA,MEXICO</t>
  </si>
  <si>
    <t xml:space="preserve">Fernando Reyes</t>
  </si>
  <si>
    <t xml:space="preserve">Corporate</t>
  </si>
  <si>
    <t xml:space="preserve">10-3-2023 03:13 PM</t>
  </si>
  <si>
    <t xml:space="preserve">fernando.reyestzintzun</t>
  </si>
  <si>
    <t xml:space="preserve">Segmentación 'Corporate' (la mayoría de las cuentas Bachoco es End User); Sin correo del contacto principal</t>
  </si>
  <si>
    <t xml:space="preserve">Sí (duplicada). Mismo domicilio que la cuenta 10 (Carretera al Dorado Km 13.5, Quemadito).</t>
  </si>
  <si>
    <t xml:space="preserve">Unir con la cuenta 10 (mismo domicilio)</t>
  </si>
  <si>
    <t xml:space="preserve">Unir con la cuenta 10 conservando su ganada 650190 "7.1 HID BACHOCO Planta Culiacan RYASA Culiacan". Decide: administrador del CRM, con los propietarios de ambas.</t>
  </si>
  <si>
    <t xml:space="preserve">BACHOCO, S.A. DE C.V - Planta de alimentos division Bajio</t>
  </si>
  <si>
    <t xml:space="preserve">Panamericana 2675, Zona Industrial,,38020 CELAYA, GUANAJUATO,MEXICO</t>
  </si>
  <si>
    <t xml:space="preserve">6-1-2021 09:40 AM</t>
  </si>
  <si>
    <t xml:space="preserve">Sin sitio público identificado (CP 38020 igual al del rastro BCH-010)</t>
  </si>
  <si>
    <t xml:space="preserve">El CP 38020 es el mismo del rastro TIF de Celaya (BCH-010), pero la calle es distinta (Panamericana 2675). El único sitio público de "división Bajío" es una planta forrajera de CAMPI en Querétaro, sin confirmar (BCH-054).</t>
  </si>
  <si>
    <t xml:space="preserve">Bachoco, S.A. de C.V. - Celaya - Planta de alimento (por confirmar)</t>
  </si>
  <si>
    <t xml:space="preserve">Confirmar si es la planta de alimento, el rastro u otra instalación. Tiene 2 ganadas registradas: O-00245158 "2.2 Pti Bachoco RYASA" y 569067 "7.1 PTI- BACHOCO, S.A. DE C.V - Planta de alimentos division Bajio PT-V-BELTS-569067- RYASA QRO" (potencial anual registrado, 1.5 millones MXN bruto).</t>
  </si>
  <si>
    <t xml:space="preserve">San Isidro Crespo (Celaya)</t>
  </si>
  <si>
    <t xml:space="preserve">Av el Vergel,36003 SAN ISIDRO CRESPO, GUANAJUATO,MEXICO</t>
  </si>
  <si>
    <t xml:space="preserve">Felipe Inactive Jiménez</t>
  </si>
  <si>
    <t xml:space="preserve">Alejandro Inactive Escobedo Meza; Froylan Santiago Inactive Alcántara; Marcos Arevalo</t>
  </si>
  <si>
    <t xml:space="preserve">6-1-2021 09:38 AM</t>
  </si>
  <si>
    <t xml:space="preserve">Propietario marcado como inactivo en el CRM</t>
  </si>
  <si>
    <t xml:space="preserve">Por confirmar. La cuenta "Planta procesadora de aves Guanajuato - Guanajuato" tiene domicilio "Av el Vergel, San Isidro Crespo" (CP 36003). Directorios comerciales ubican el rastro en "Parque Industrial El Vergel" y "San Isidro de Crespo", pero el domicilio oficial de SENASICA es Km 5 Carr. Celaya-Salamanca, Segunda Fracción de Crespo (CP 38020). El CP del CRM no coincide.</t>
  </si>
  <si>
    <t xml:space="preserve">Bachoco, S.A. de C.V. - Celaya - Planta procesadora de aves (TIF A-363) si se confirma</t>
  </si>
  <si>
    <t xml:space="preserve">Cuenta con más ganadas (11 en todo el CRM, 10 Elegibles) y propietario inactivo en el CRM: confirmar quién la lleva hoy en la región Bajío antes de asignar trabajo. CP 36003 no coincide con 38020.</t>
  </si>
  <si>
    <t xml:space="preserve">Yucatán (Mérida/Umán)</t>
  </si>
  <si>
    <t xml:space="preserve">José María Castro SN, Cd Industrial, 97288 Mérida, Yuc.,97288 MERIDA, YUCATÁN,MEXICO</t>
  </si>
  <si>
    <t xml:space="preserve">6-1-2021 09:31 AM</t>
  </si>
  <si>
    <t xml:space="preserve">Subcategoría de End Market vacía; Propietario no aparece en la hoja Team del archivo IR: confirmar vigencia; Sin correo del contacto principal; Sin oportunidades registradas</t>
  </si>
  <si>
    <t xml:space="preserve">Por confirmar. La cuenta "Planta De Alimentos 1" (José María Castro SN, Ciudad Industrial, Mérida, CP 97288) coincide en tipo (alimento) y zona (Ciudad Industrial) con la planta CAMPI; las calles no coinciden (Calle 17 No. 400 x 20).</t>
  </si>
  <si>
    <t xml:space="preserve">Bachoco, S.A. de C.V. - Mérida - Planta de alimento</t>
  </si>
  <si>
    <t xml:space="preserve">Sin oportunidades. Falta Subcategoría de End Market. Confirmar si es la planta CAMPI. Propietario (Cesar Vázquez) no aparece en la hoja Team.</t>
  </si>
  <si>
    <t xml:space="preserve">Morelos (Cuautla)</t>
  </si>
  <si>
    <t xml:space="preserve">MEXICO PUEBLA 3, ESTRELLA, 62747 Cuautla, Morelos,, MEXICO PUEBLA 3, ESTRELLA,62747 CUAUTLA, MORELOS,MEXICO</t>
  </si>
  <si>
    <t xml:space="preserve">Christopher Torres</t>
  </si>
  <si>
    <t xml:space="preserve">6-10-2022 03:16 PM</t>
  </si>
  <si>
    <t xml:space="preserve">christopher.torres</t>
  </si>
  <si>
    <t xml:space="preserve">Sin contacto principal; Sin correo del contacto principal; Sin teléfono; Sin oportunidades registradas</t>
  </si>
  <si>
    <t xml:space="preserve">Sí. Mismo municipio, calle y número: CRM "México Puebla 3, Estrella, Cuautla" y CAMPI "Vía de FFCC México-Puebla No. 3, Col. Cuatlixco". La colonia no coincide.</t>
  </si>
  <si>
    <t xml:space="preserve">Bachoco, S.A. de C.V. - Cuautla - Planta de alimento</t>
  </si>
  <si>
    <t xml:space="preserve">Sin contacto principal ni oportunidades: capturar contacto de mantenimiento o compras en la primera visita.</t>
  </si>
  <si>
    <t xml:space="preserve">Bachoco S.A. de C.V. - San Luis Potosi</t>
  </si>
  <si>
    <t xml:space="preserve">San Luis Potosí</t>
  </si>
  <si>
    <t xml:space="preserve">Av Salk 4665,,El Aguaje, El Aguaje,78385 SAN LUIS POTOSI, SAN LUIS POTOSÍ</t>
  </si>
  <si>
    <t xml:space="preserve">Alejandro Velasco</t>
  </si>
  <si>
    <t xml:space="preserve">24-8-2026 02:18 PM</t>
  </si>
  <si>
    <t xml:space="preserve">miguelalejandro.velasco</t>
  </si>
  <si>
    <t xml:space="preserve">Sin correo del contacto principal</t>
  </si>
  <si>
    <t xml:space="preserve">Sin sitio público identificado (PEN-02)</t>
  </si>
  <si>
    <t xml:space="preserve">Ninguna fuente pública ubica una instalación de Bachoco en San Luis Potosí (el TIF A-206 de SLP es de Pilgrim's Pride). Cuenta creada el 24-ago-2026 con 2 abiertas.</t>
  </si>
  <si>
    <t xml:space="preserve">Bachoco, S.A. de C.V. - San Luis Potosí</t>
  </si>
  <si>
    <t xml:space="preserve">Preguntar a quien la capturó (propietario en el CRM: Alejandro Velasco) qué instalación es; la cuenta es reciente y tiene 2 abiertas.</t>
  </si>
  <si>
    <t xml:space="preserve">Bachoco S.A. DE C.V. - Planta procesadora de aves Sonora</t>
  </si>
  <si>
    <t xml:space="preserve">Mexicali</t>
  </si>
  <si>
    <t xml:space="preserve">Baja California</t>
  </si>
  <si>
    <t xml:space="preserve">Av Galaxia, PIMSA I, Mexicali, B.C.,21355 MEXICALI, BAJA CALIFORNIA,MEXICO</t>
  </si>
  <si>
    <t xml:space="preserve">Abel Inactive Valenzuela; Johnatan Inactive Murillo</t>
  </si>
  <si>
    <t xml:space="preserve">6-1-2021 09:32 AM</t>
  </si>
  <si>
    <t xml:space="preserve">Subcategoría de End Market vacía; Propietario no aparece en la hoja Team del archivo IR: confirmar vigencia; Sin correo del contacto principal; El nombre dice Sonora pero el domicilio es Mexicali, Baja California</t>
  </si>
  <si>
    <t xml:space="preserve">Sin sitio público identificado (PEN-01)</t>
  </si>
  <si>
    <t xml:space="preserve">El nombre dice Sonora pero el domicilio (Av. Galaxia, PIMSA I) es de Mexicali, BC. No hay instalación de Bachoco identificada en Mexicali (el TIF de Mexicali es de SuKarne); el mapa 2021 muestra 3 CEDIS en Baja California sin municipio.</t>
  </si>
  <si>
    <t xml:space="preserve">Bachoco, S.A. de C.V. - Mexicali</t>
  </si>
  <si>
    <t xml:space="preserve">Cambiar el nombre (Sonora no corresponde). Confirmar qué instalación es: 4 oportunidades perdidas. Propietario (Cesar Vázquez) no aparece en la hoja Team. Falta Subcategoría de End Market.</t>
  </si>
  <si>
    <t xml:space="preserve">Industrias Bachoco SA de CV - Merida, Yucatan.</t>
  </si>
  <si>
    <t xml:space="preserve">Calle Benito Juárez 21, Cd Industrial,,97288 MERIDA, YUCATÁN,MEXICO</t>
  </si>
  <si>
    <t xml:space="preserve">Ricardo Narvaez</t>
  </si>
  <si>
    <t xml:space="preserve">Alejandro Inactive Escobedo Meza; Eliasib Luna</t>
  </si>
  <si>
    <t xml:space="preserve">6-1-2021 09:36 AM</t>
  </si>
  <si>
    <t xml:space="preserve">Propietario registrado es el NSM: confirmar quién lleva realmente la cuenta</t>
  </si>
  <si>
    <t xml:space="preserve">Sin sitio público identificado (Ciudad Industrial de Mérida; ver BCH-050)</t>
  </si>
  <si>
    <t xml:space="preserve">Calle Benito Juárez 21, Ciudad Industrial, Mérida (CP 97288): no coincide con el domicilio del rastro (Umán, km 14.5) ni con el de la planta CAMPI (Calle 17).</t>
  </si>
  <si>
    <t xml:space="preserve">Bachoco, S.A. de C.V. - Mérida - [tipo por confirmar]</t>
  </si>
  <si>
    <t xml:space="preserve">Confirmar qué instalación es. Su propietario en el CRM es el NSM: definir quién la lleva. Tiene la abierta 810579 "2.2 PTV Continental Bachoco Mérida Eissa Mérida" (potencial anual registrado 450,000).</t>
  </si>
  <si>
    <t xml:space="preserve">Carretera Merida - Uman km 14.5,97390 UMAN, YUCATÁN,MEXICO</t>
  </si>
  <si>
    <t xml:space="preserve">Alejandro Inactive Escobedo Meza</t>
  </si>
  <si>
    <t xml:space="preserve">22-5-2024 05:45 PM</t>
  </si>
  <si>
    <t xml:space="preserve">alejandro.escobedomeza</t>
  </si>
  <si>
    <t xml:space="preserve">Sí. Domicilio coincide: Carretera Mérida-Umán Km 14.5, CP 97390 (cuenta "Industrias Bachoco ... Umán"). SENASICA lo llama Mérida; el CP es de Umán.</t>
  </si>
  <si>
    <t xml:space="preserve">Bachoco, S.A. de C.V. - Umán - Planta procesadora de aves (TIF A-234)</t>
  </si>
  <si>
    <t xml:space="preserve">Propietario en el CRM es el NSM: definir quién la lleva.</t>
  </si>
  <si>
    <t xml:space="preserve">Carretera Sahurita Km 3.5, Parque Industrial,83299 HERMOSILLO, SONORA,MEXICO</t>
  </si>
  <si>
    <t xml:space="preserve">6-1-2021 09:35 AM</t>
  </si>
  <si>
    <t xml:space="preserve">Subcategoría de End Market vacía; Propietario no aparece en la hoja Team del archivo IR: confirmar vigencia; Sin correo del contacto principal; Error de ortografía en el nombre ('Bchoco')</t>
  </si>
  <si>
    <t xml:space="preserve">Por confirmar. La cuenta "Bchoco ... Hermosillo" (Carretera Sahurita Km 3.5, Parque Industrial, CP 83299, tal como está en el CRM) coincide en ciudad con el ex complejo Hermosillo. No hay domicilio verificado de la planta de aves.</t>
  </si>
  <si>
    <t xml:space="preserve">Bachoco, S.A. de C.V. - Hermosillo</t>
  </si>
  <si>
    <t xml:space="preserve">Corregir "Bchoco". Confirmar qué instalación es (CP igual al de un rastro porcino de Norson). Falta Subcategoría de End Market.</t>
  </si>
  <si>
    <t xml:space="preserve">Qué ha funcionado en Bachoco: resumen por zona y por línea</t>
  </si>
  <si>
    <t xml:space="preserve">Montos = potencial anual registrado en el CRM, NO facturación. "Sin re-registros" quita las ganadas que repiten el mismo monto en la misma zona (posible renovación del mismo negocio dada de alta otra vez; es una pista, no una confirmación; otra lectura posible es potencial por escalón). Celda amarilla: elige "Solo Elegible" (regla del programa) o "Todo el CRM". Las dos columnas de texto de la derecha son fijas y consideran solo ganadas Elegibles.</t>
  </si>
  <si>
    <t xml:space="preserve">Universo (elige):</t>
  </si>
  <si>
    <t xml:space="preserve">Solo Elegible</t>
  </si>
  <si>
    <t xml:space="preserve">criterio:</t>
  </si>
  <si>
    <t xml:space="preserve">Ganadas</t>
  </si>
  <si>
    <t xml:space="preserve">Perdidas</t>
  </si>
  <si>
    <t xml:space="preserve">Abiertas</t>
  </si>
  <si>
    <t xml:space="preserve">Potencial anual ganadas, suma bruta MXN</t>
  </si>
  <si>
    <t xml:space="preserve">Potencial anual ganadas, sin re-registros MXN</t>
  </si>
  <si>
    <t xml:space="preserve">Primer año con ganada</t>
  </si>
  <si>
    <t xml:space="preserve">Última ganada</t>
  </si>
  <si>
    <t xml:space="preserve">Líneas ganadas, solo Elegibles (texto fijo)</t>
  </si>
  <si>
    <t xml:space="preserve">Distribuidores en las ganadas Elegibles (texto fijo)</t>
  </si>
  <si>
    <t xml:space="preserve">Banda en V (13); Transmisión (sin detalle) (1)</t>
  </si>
  <si>
    <t xml:space="preserve">RYASA Querétaro (12); RYASA Celaya (1); (sin distribuidor en el registro) (1)</t>
  </si>
  <si>
    <t xml:space="preserve">Banda en V (6); Manguera industrial (4)</t>
  </si>
  <si>
    <t xml:space="preserve">Lamuño Puebla (7); Binasa Puebla (2); RILSA 2000 Puebla (1)</t>
  </si>
  <si>
    <t xml:space="preserve">Banda en V (3); Manguera hidráulica (1)</t>
  </si>
  <si>
    <t xml:space="preserve">RYASA Veracruz (2); SNR Córdoba (1); Comimsa Coatzacoalcos (1)</t>
  </si>
  <si>
    <t xml:space="preserve">Poly Chain (PCC) (1); Manguera industrial (1); Banda en V (1)</t>
  </si>
  <si>
    <t xml:space="preserve">EISSA Mérida (3)</t>
  </si>
  <si>
    <t xml:space="preserve">Total</t>
  </si>
  <si>
    <t xml:space="preserve">Por grupo de línea (todas las zonas; según el universo elegido arriba)</t>
  </si>
  <si>
    <t xml:space="preserve">Grupo de línea</t>
  </si>
  <si>
    <t xml:space="preserve">Tasa de ganancia</t>
  </si>
  <si>
    <t xml:space="preserve">Bandas en V</t>
  </si>
  <si>
    <t xml:space="preserve">Bandas síncronas, poliuretano y micro-V</t>
  </si>
  <si>
    <t xml:space="preserve">Manguera industrial</t>
  </si>
  <si>
    <t xml:space="preserve">Manguera hidráulica y neumática</t>
  </si>
  <si>
    <t xml:space="preserve">Otras o sin detalle de producto</t>
  </si>
  <si>
    <t xml:space="preserve">Ganadas por año de cierre (cuentas Bachoco; según el universo elegido arriba)</t>
  </si>
  <si>
    <t xml:space="preserve">Año</t>
  </si>
  <si>
    <t xml:space="preserve">2019</t>
  </si>
  <si>
    <t xml:space="preserve">2020</t>
  </si>
  <si>
    <t xml:space="preserve">2021</t>
  </si>
  <si>
    <t xml:space="preserve">2022</t>
  </si>
  <si>
    <t xml:space="preserve">2023</t>
  </si>
  <si>
    <t xml:space="preserve">2024</t>
  </si>
  <si>
    <t xml:space="preserve">2025</t>
  </si>
  <si>
    <t xml:space="preserve">2026</t>
  </si>
  <si>
    <t xml:space="preserve">2026 es parcial. La base DETALLE tiene corte al 12-ago-2026; el archivo IR incluye registros hasta al menos el 31-ago-2026.</t>
  </si>
  <si>
    <t xml:space="preserve">Las 12 ganadas Elegibles con mayor potencial anual registrado</t>
  </si>
  <si>
    <t xml:space="preserve">Núm. de oportunidad</t>
  </si>
  <si>
    <t xml:space="preserve">Nomenclatura completa</t>
  </si>
  <si>
    <t xml:space="preserve">Fecha de cierre</t>
  </si>
  <si>
    <t xml:space="preserve">Potencial anual MXN</t>
  </si>
  <si>
    <t xml:space="preserve">Posible re-registro</t>
  </si>
  <si>
    <t xml:space="preserve">Decisión del programa</t>
  </si>
  <si>
    <t xml:space="preserve">569067</t>
  </si>
  <si>
    <t xml:space="preserve">O-00244487</t>
  </si>
  <si>
    <t xml:space="preserve">571620</t>
  </si>
  <si>
    <t xml:space="preserve">O-00245158</t>
  </si>
  <si>
    <t xml:space="preserve">648860</t>
  </si>
  <si>
    <t xml:space="preserve">643201</t>
  </si>
  <si>
    <t xml:space="preserve">555451</t>
  </si>
  <si>
    <t xml:space="preserve">555609</t>
  </si>
  <si>
    <t xml:space="preserve">521646</t>
  </si>
  <si>
    <t xml:space="preserve">544435</t>
  </si>
  <si>
    <t xml:space="preserve">807192</t>
  </si>
  <si>
    <t xml:space="preserve">O-00249207</t>
  </si>
  <si>
    <t xml:space="preserve">Oportunidades de las cuentas Bachoco por zona y línea de producto</t>
  </si>
  <si>
    <t xml:space="preserve">Son conteos de oportunidades del CRM (no pesos). La línea sale de la nomenclatura de cada oportunidad; "Zona" agrupa cuentas por lugar. Celda amarilla: elige "Solo Elegible" (regla del programa) o "Todo el CRM". Un cero significa que no hay registro, no que no se pueda vender. Culiacán y Ciénega de Flores aparecen en cero con "Solo Elegible" porque el programa no marcó Elegibles sus oportunidades (ver hoja Clasificación dudosa).</t>
  </si>
  <si>
    <t xml:space="preserve">GANADAS</t>
  </si>
  <si>
    <t xml:space="preserve">PERDIDAS</t>
  </si>
  <si>
    <t xml:space="preserve">ABIERTAS</t>
  </si>
  <si>
    <t xml:space="preserve">Oportunidades de cuentas Bachoco que el programa no marcó Elegible (se reportan, no se cambiaron)</t>
  </si>
  <si>
    <t xml:space="preserve">Regla del proyecto: solo las Elegibles sustentan casos; las Excluidas y en Revisar no entran en resultados, pero una clasificación dudosa se reporta. La columna "Lo que se reporta" es nuestra lectura de por qué parece dudosa; la decisión de corregir es de quien lleva la cuenta y del administrador del CRM.</t>
  </si>
  <si>
    <t xml:space="preserve">Cuenta en el CRM</t>
  </si>
  <si>
    <t xml:space="preserve">Estatus</t>
  </si>
  <si>
    <t xml:space="preserve">Potencial anual MXN (registrado)</t>
  </si>
  <si>
    <t xml:space="preserve">Motivo del programa</t>
  </si>
  <si>
    <t xml:space="preserve">Lo que se reporta</t>
  </si>
  <si>
    <t xml:space="preserve">O-00221100</t>
  </si>
  <si>
    <t xml:space="preserve">4.1 PTI-BACHOCO BAJIO-RYASA CELAYA</t>
  </si>
  <si>
    <t xml:space="preserve">Ganada</t>
  </si>
  <si>
    <t xml:space="preserve">Revisar</t>
  </si>
  <si>
    <t xml:space="preserve">Nomenclatura no concluyente</t>
  </si>
  <si>
    <t xml:space="preserve">El programa no pudo concluir con el nombre (solo trae PTI o la familia). No se cambió.</t>
  </si>
  <si>
    <t xml:space="preserve">O-00228877</t>
  </si>
  <si>
    <t xml:space="preserve">4.2 Pti Bachoco-Ryasa Cly</t>
  </si>
  <si>
    <t xml:space="preserve">O-00232580</t>
  </si>
  <si>
    <t xml:space="preserve">4.2 Pti Bachoco-Ryasa Cly_O-00232580</t>
  </si>
  <si>
    <t xml:space="preserve">O-00244318</t>
  </si>
  <si>
    <t xml:space="preserve">4.2 PTI BACHOCO-RYASA CLY</t>
  </si>
  <si>
    <t xml:space="preserve">545700</t>
  </si>
  <si>
    <t xml:space="preserve">2.1 PTI-BACHOCO S.A. DE C.V. PT-V-BELTS- RYASA QRO--545700</t>
  </si>
  <si>
    <t xml:space="preserve">Excluida</t>
  </si>
  <si>
    <t xml:space="preserve">ID de distribuidores / jobbers; Descripción con ID de distribuidor / jobber</t>
  </si>
  <si>
    <t xml:space="preserve">El nombre lleva ID 2.1 (conversión de distribuidores) aunque el cliente es el usuario final: posible ID mal capturado.</t>
  </si>
  <si>
    <t xml:space="preserve">575363</t>
  </si>
  <si>
    <t xml:space="preserve">2.1 PTI-Bachoco, S.A. de  C.V. - Planta procesadora de aves Guanajuato - Guanajuato PT-V-BELTS-575363</t>
  </si>
  <si>
    <t xml:space="preserve">584242</t>
  </si>
  <si>
    <t xml:space="preserve">7.1 V-BELTS  Bachoco S.A. de C.V. - Planta Culiacan PT-V-BELTS-584242</t>
  </si>
  <si>
    <t xml:space="preserve">OEM / primer equipo</t>
  </si>
  <si>
    <t xml:space="preserve">La cuenta está segmentada como OEM. HIPÓTESIS por confirmar: si la compra es para mantener equipos propios de la planta, sería usuario final (contexto/OBJETIVO_RICARDO.md: una manufacturera es usuario final cuando compra para mantenimiento de su propia operación). Decide quien lleva la cuenta.</t>
  </si>
  <si>
    <t xml:space="preserve">653398</t>
  </si>
  <si>
    <t xml:space="preserve">3.1 MXT Bachoco S.A. de C.V. - Planta Culiacan FP-HYDRAULICS-653398</t>
  </si>
  <si>
    <t xml:space="preserve">650190</t>
  </si>
  <si>
    <t xml:space="preserve">7.1 HID BACHOCO Planta Culiacan RYASA Culiacan</t>
  </si>
  <si>
    <t xml:space="preserve">Validar uso propio de mantenimiento y segmento</t>
  </si>
  <si>
    <t xml:space="preserve">La cuenta está segmentada Corporate (segunda cuenta de Culiacán); falta validar uso propio y segmento.</t>
  </si>
  <si>
    <t xml:space="preserve">662447</t>
  </si>
  <si>
    <t xml:space="preserve">3.1 Plant Master Xtreme 501 Bachoco S.A. de C.V. - Planta Culiacan FP-IND HOSE &amp; CPLG-662447</t>
  </si>
  <si>
    <t xml:space="preserve">703452</t>
  </si>
  <si>
    <t xml:space="preserve">3.1 35W Bachoco S.A. de C.V. - Planta Culiacan FP-IND HOSE &amp; CPLG-703452</t>
  </si>
  <si>
    <t xml:space="preserve">682290</t>
  </si>
  <si>
    <t xml:space="preserve">7.1 HID BACHOCO PLANTA CULIACAN- RYASA CULIACAN</t>
  </si>
  <si>
    <t xml:space="preserve">804237</t>
  </si>
  <si>
    <t xml:space="preserve">2.2 VBelt BACHOCO/ RYASA - Cienega de Flores PT &amp; FP-804237</t>
  </si>
  <si>
    <t xml:space="preserve">Segmento intermediario</t>
  </si>
  <si>
    <t xml:space="preserve">La cuenta está segmentada como Exporter/Trading Company. Por confirmar si la compra es para mantenimiento propio (usuario final). Decide quien lleva la cuenta.</t>
  </si>
  <si>
    <t xml:space="preserve">O-00244908</t>
  </si>
  <si>
    <t xml:space="preserve">4.1 PTI Bachoco Tecamachalco Lamuño Puebla</t>
  </si>
  <si>
    <t xml:space="preserve">Perdida</t>
  </si>
  <si>
    <t xml:space="preserve">546987</t>
  </si>
  <si>
    <t xml:space="preserve">7.1 V-Belts Bachoco S.A. de C.V. - Planta Culiacan PT-KITS-546987</t>
  </si>
  <si>
    <t xml:space="preserve">680789</t>
  </si>
  <si>
    <t xml:space="preserve">7.1 PCC Bachoco Obregon Ryasa Obregon</t>
  </si>
  <si>
    <t xml:space="preserve">Tipo de oportunidad de distribución</t>
  </si>
  <si>
    <t xml:space="preserve">Ver motivo del programa.</t>
  </si>
  <si>
    <t xml:space="preserve">737747</t>
  </si>
  <si>
    <t xml:space="preserve">Bachoco S.A. de C.V. - Planta Culiacan FP-HYDRAULICS-737747</t>
  </si>
  <si>
    <t xml:space="preserve">765495</t>
  </si>
  <si>
    <t xml:space="preserve">2.2 Hid Parker Bachoco Tecamachalco Lamuño Puebla</t>
  </si>
  <si>
    <t xml:space="preserve">811939</t>
  </si>
  <si>
    <t xml:space="preserve">2.2 BACHOCO/ RYASA - Cienega de Flores PT-MV BELTS-811939</t>
  </si>
  <si>
    <t xml:space="preserve">Abierta</t>
  </si>
  <si>
    <t xml:space="preserve">812577</t>
  </si>
  <si>
    <t xml:space="preserve">7.1 / TPU / Bachoco / BRR Torreón</t>
  </si>
  <si>
    <t xml:space="preserve">Sin decisión (posterior al corte)</t>
  </si>
  <si>
    <t xml:space="preserve">Posterior al corte de DETALLE (12-ago-2026): sin decisión del programa.</t>
  </si>
  <si>
    <t xml:space="preserve">812953</t>
  </si>
  <si>
    <t xml:space="preserve">2.2 PCC Martin Bachoco San Luis Potosi - Ryasa SLP - 812953</t>
  </si>
  <si>
    <t xml:space="preserve">812811</t>
  </si>
  <si>
    <t xml:space="preserve">2.2 Parker Bachoco San Luis Potosi  Ryasa SLP -812811</t>
  </si>
  <si>
    <t xml:space="preserve">Ganadas no Elegibles</t>
  </si>
  <si>
    <t xml:space="preserve">Potencial anual registrado de esas ganadas (MXN)</t>
  </si>
  <si>
    <t xml:space="preserve">Candidatas de réplica: de dónde sale el caso y a dónde llevarlo</t>
  </si>
  <si>
    <t xml:space="preserve">Ninguna réplica está confirmada. El dictamen es del especialista en aplicaciones (texto completo en datos_trabajo/BACHOCO_REPLICAS_DICTAMEN.csv). Cada fila dice qué hechos la apoyan y qué falta comprobar antes de ofrecerla. El CRM no registra la aplicación ni el equipo de ninguna oportunidad: antes de visitar un destino hay que documentarlos en el origen.</t>
  </si>
  <si>
    <t xml:space="preserve">#</t>
  </si>
  <si>
    <t xml:space="preserve">Caso fuente (zona y línea)</t>
  </si>
  <si>
    <t xml:space="preserve">Oportunidades de ejemplo (nomenclatura completa)</t>
  </si>
  <si>
    <t xml:space="preserve">Sitio destino</t>
  </si>
  <si>
    <t xml:space="preserve">Cuenta CRM del destino</t>
  </si>
  <si>
    <t xml:space="preserve">Qué se sabe del destino (con fuente)</t>
  </si>
  <si>
    <t xml:space="preserve">Quién se mueve hoy en el destino</t>
  </si>
  <si>
    <t xml:space="preserve">A favor y en contra</t>
  </si>
  <si>
    <t xml:space="preserve">Dictamen del especialista en aplicaciones</t>
  </si>
  <si>
    <t xml:space="preserve">Qué falta validar en lo técnico</t>
  </si>
  <si>
    <t xml:space="preserve">Preguntas para la visita</t>
  </si>
  <si>
    <t xml:space="preserve">R1</t>
  </si>
  <si>
    <t xml:space="preserve">Bajío (Celaya), banda en V: la cuenta "Planta procesadora de aves Guanajuato - Guanajuato" tiene 11 ganadas de dic-2020 a jun-2024: 10 Elegibles y 1 Excluida (575363, ID 2.1). Todas con propietario marcado inactivo.</t>
  </si>
  <si>
    <t xml:space="preserve">643201 7.1 V-Belts Bachoco, S.A. de  C.V. - Planta procesadora de aves Guanajuato - Guanajuato PT-V-BELTS-643201 (ganada, Elegible, 2023-04-27, 538,004 MXN potencial anual registrado)
555451 2.2 PTI Optibelt Bachoco, S.A. de  C.V. - Planta procesadora de aves Guanajuato - Guanajuato PT-V-BELTS-555451- Ryasa Qro. (ganada, Elegible, 2022-01-28, 525,478 MXN potencial anual registrado)
631793 2.2 PTI Optibelt Bachoco, S.A. de  C.V. - Planta procesadora de aves Guanajuato - Guanajuato PT-V-BELTS-631793 (ganada, Elegible, 2022-12-29, 341,089 MXN potencial anual registrado)</t>
  </si>
  <si>
    <t xml:space="preserve">Rastro TIF A-183, Unión de San Antonio, Jalisco (complejo "Lagos"; BCH-011).</t>
  </si>
  <si>
    <t xml:space="preserve">No hay cuenta en el CRM. La oportunidad O-00218689 "7.1 PCC C2B-Bachoco Lagos- Bamac Guadalajara" (perdida, 2020, PCC) quedó capturada en la cuenta de Celaya; que se refiera a este sitio es HIPÓTESIS (solo por el nombre).</t>
  </si>
  <si>
    <t xml:space="preserve">Rastro de aves de Bachoco, S.A. de C.V. (SENASICA 2024, confirmado). Incendio el 3-may-2026 en una planta de Lagos de Moreno (solo prensa; podría ser el mismo sitio); operaciones suspendidas una semana, rehabilitación en curso al 11-may-2026; reapertura PENDIENTE. Una rehabilitación no es demanda de reposición.</t>
  </si>
  <si>
    <t xml:space="preserve">Sin cuenta ni abiertas conocidas. Marcos mencionó que otras regiones atienden Bachoco, sin precisar si incluyen Lagos (pendiente).</t>
  </si>
  <si>
    <t xml:space="preserve">A FAVOR: misma familia (banda en V de transmisión) y misma razón social en rastros de aves; el origen tiene más ganadas de banda en V que cualquier otra cuenta del grupo.
EN CONTRA O FALTA: el CRM no registra equipo ni aplicación en ninguna de las 11; el origen no está ligado con certeza al rastro de Celaya; sin ganadas ni abiertas después de jun-2024; la única historia del destino es otra familia (PCC) y se perdió.</t>
  </si>
  <si>
    <t xml:space="preserve">PARCIAL. Misma familia (banda en V de transmisión) y mismo tipo de operación (rastro de aves TIF de la misma razón social), con más ganadas de banda en V que cualquier otra cuenta del grupo. No sube a SÍ porque: el predio físico del origen no está confirmado, ninguna de las 11 ganadas registra equipo ni aplicación, el destino no tiene un solo accionamiento documentado y su operación tras el incendio está PENDIENTE.
Confianza: HIPÓTESIS - media-baja. Origen sólido en CRM (CONFIRMADO), destino débil (sin cuenta, sin equipo conocido, operación PENDIENTE tras el incendio). Sube a SÍ solo si se documentan los equipos del origen y se confirma que A-183 opera con accionamientos equivalentes.
Nota del Excel: las cifras de este dictamen cuentan todo el CRM salvo que diga Elegible.</t>
  </si>
  <si>
    <t xml:space="preserve">1) ORIGEN primero: en qué equipos va la banda en V comprada desde 2020 (por equipo: perfil y sección, longitud, bandas por juego, poleas, potencia y velocidad del motor) y con qué frecuencia real se cambia (dato de planta, no del CRM).
2) DESTINO: si el sitio TIF A-183 es el mismo que el siniestrado; qué áreas operan y cuáles se reconstruyen; inventario de accionamientos por banda en V y marca instalada.
3) Equipo contra equipo: misma familia no es mismo número de parte; si el destino usa otra sección o banda síncrona (su única historia es PCC), sería otra oferta, no réplica.
4) Condiciones de servicio a medir: humedad y químicos de lavado cerca de los accionamientos, frío o calor (cuartos fríos, calderas, rendimiento), polvo o grasa, turnos.
5) Solo cuenta la banda que transmite potencia del motor al equipo, no la banda o cinta que mueve producto. Ningún equipo se da por existente hasta verlo.</t>
  </si>
  <si>
    <t xml:space="preserve">MANTENIMIENTO (destino):
1) ¿La planta de la carretera Lagos - Unión de San Antonio Km 13.5 (TIF A-183) es la que se incendió el 2026-05-03? ¿Qué áreas operan hoy y cuáles siguen en rehabilitación?
2) ¿Qué equipos tienen transmisión por banda en V, con qué perfil, medida y marca, y cuáles fallan más por humedad, lavado o calor? COMPRAS (destino):
3) ¿A quién compran hoy la banda en V, quién autoriza un cambio de marca (la planta o el corporativo de Celaya) y qué pasó con la propuesta de 2020 registrada como '7.1 PCC C2B-Bachoco Lagos- Bamac Guadalajara'? ORIGEN (antes de visitar Lagos): ¿en qué equipos se instaló la banda en V comprada de 2020 a 2024 y por qué no hay oportunidades registradas después de junio de 2024?</t>
  </si>
  <si>
    <t xml:space="preserve">Por validar</t>
  </si>
  <si>
    <t xml:space="preserve">R2a</t>
  </si>
  <si>
    <t xml:space="preserve">Tecamachalco: 4 ganadas Elegibles de manguera industrial Plant Master (la última, sep-2025). Como referencia con clasificación dudosa (ninguna es Elegible): Culiacán, 6 ganadas, 5 de manguera.</t>
  </si>
  <si>
    <t xml:space="preserve">ORIGEN ELEGIBLE (Tecamachalco):
O-00249657 3.1 Plant Master Xtreme 325 (19B) Bachoco Tecamachalco Lamuño Puebla (ganada, Elegible, 2020-09-22, 92,752 MXN potencial anual registrado)
O-00251750 3.1 PlantMaster Xtreme 501 Bachoco Tecamachalco Binasa Puebla (ganada, Elegible, 2020-10-23, 111,302 MXN potencial anual registrado)
O-00254712 3.1 PlantMaster Terminator Bachoco Tecamachalco Lamuño Puebla (ganada, Elegible, 2020-12-24, 74,201 MXN potencial anual registrado)
789991 7.1 PlantMaster Xtreme 501 (Terminator)  Bachoco Tecamachalco Lamuño Puebla (ganada, Elegible, 2025-09-15, 187,626 MXN potencial anual registrado)
REFERENCIA, NO ELEGIBLES (Culiacán):
703452 3.1 35W Bachoco S.A. de C.V. - Planta Culiacan FP-IND HOSE &amp; CPLG-703452 (ganada, Excluida, 2024-01-29, 876,913 MXN potencial anual registrado)
662447 3.1 Plant Master Xtreme 501 Bachoco S.A. de C.V. - Planta Culiacan FP-IND HOSE &amp; CPLG-662447 (ganada, Excluida, 2023-11-10, 448,337 MXN potencial anual registrado)
653398 3.1 MXT Bachoco S.A. de C.V. - Planta Culiacan FP-HYDRAULICS-653398 (ganada, Excluida, 2023-06-22, 511,104 MXN potencial anual registrado)</t>
  </si>
  <si>
    <t xml:space="preserve">Rastro TIF A-363, Celaya (BCH-010).</t>
  </si>
  <si>
    <t xml:space="preserve">Celaya: "Planta procesadora de aves Guanajuato - Guanajuato" (cruce por confirmar) y 4 cuentas más de Celaya.</t>
  </si>
  <si>
    <t xml:space="preserve">Celaya suma 14 ganadas Elegibles de transmisión (20 con todo el CRM) y ninguna oportunidad de manguera (ni ganada, ni perdida, ni abierta); distribuidor en las ganadas: RYASA Querétaro y Celaya.</t>
  </si>
  <si>
    <t xml:space="preserve">La cuenta con más ganadas de Celaya tiene propietario marcado inactivo; otras 4 cuentas de Celaya figuran a nombre de Ulises Sánchez (confirmar vigencia). Responsable vigente PENDIENTE.</t>
  </si>
  <si>
    <t xml:space="preserve">A FAVOR: manguera industrial Plant Master ganada en dos cuentas distintas (Culiacán = rastro A-124 por domicilio; Tecamachalco = rastro A-326 por confirmar) con distribuidores distintos; Tecamachalco la volvió a ganar en 2025. Solo las de Tecamachalco son Elegibles.
EN CONTRA O FALTA: para manguera hidráulica NO se sostiene (con todo el CRM, 4 ganadas contra 5 perdidas; con solo Elegibles, 1 contra 3); las ganadas de manguera de Culiacán no son Elegibles (cuenta OEM, 4 Excluidas y 1 en Revisar), así que con la regla del programa el origen es solo Tecamachalco; "cero registros" en Celaya no prueba que usen manguera; el producto "35W" no está identificado.</t>
  </si>
  <si>
    <t xml:space="preserve">PARCIAL para manguera industrial (Plant Master); NO sostenida todavía para manguera hidráulica. Industrial: ganadas repetidas en dos cuentas del grupo (Culiacán = rastro A-124 por domicilio; Tecamachalco = rastro A-326 por confirmar) y destino del mismo tipo de operación, pero sin aplicación conocida en el origen ni uso confirmado en el destino. Hidráulica: historial del grupo dividido (Culiacán 3 ganadas y 1 perdida; Tecamachalco y Mexicali 0 ganadas y 4 perdidas; Coatzacoalcos 1 ganada) y ningún equipo hidráulico conocido en Celaya.
Confianza: HIPÓTESIS - media para manguera industrial (dos plantas origen con ganadas repetidas y mismo tipo de operación confirmado); baja para hidráulica (historial dividido, sin equipo conocido en el destino).
Nota del Excel: las cifras de este dictamen cuentan todo el CRM salvo que diga Elegible. Con la regla del programa el origen de manguera industrial es una sola planta (Tecamachalco), porque Culiacán no tiene oportunidades Elegibles; la confianza del especialista se apoyó en dos plantas origen, así que queda condicionada a que se reclasifique Culiacán (ver Pendientes).</t>
  </si>
  <si>
    <t xml:space="preserve">1) Documentar el origen: servicio de cada Plant Master ganada (fluido, presión de trabajo, temperatura, químico de limpieza y concentración, diámetro, largo, tipo de cople) y qué equipo lleva la manguera MXT/HID en Culiacán. Sin esto no hay caso que replicar.
2) Celaya: si existen los mismos servicios y en qué condiciones (agua caliente o vapor, lavado a presión con químicos, aire, contacto con grasa animal, frío); si cambian presión, temperatura o químico puede cambiar la referencia correcta aunque la familia sea la misma.
3) Hidráulica: inventario de equipos con circuito hidráulico en el rastro y en la planta de rendimiento (BCH-020); presión, fluido, temperatura, norma de terminales; quién arma las mangueras (planta o distribuidor).
4) Canal de compra: planta o contrato del corporativo (mismo municipio, BCH-001). Ningún servicio ni equipo se da por existente hasta verlo.</t>
  </si>
  <si>
    <t xml:space="preserve">MANTENIMIENTO:
1) ¿En qué servicios usan manguera industrial (lavado sanitario, agua caliente, vapor, aire, químicos), con qué presión, temperatura y químico, cuál es la falla más frecuente y cada cuánto la cambian?
2) ¿Qué equipos del rastro y de la planta de rendimiento tienen circuitos hidráulicos y quién arma esas mangueras? COMPRAS:
3) ¿A qué proveedor y por qué canal compran hoy manguera industrial e hidráulica, la compra es de la planta o del corporativo, y quién aprueba probar otra marca? ORIGEN (antes de la visita): ¿qué servicio atienden 662447, 703452 y las Plant Master de Tecamachalco, y qué producto es '35W'?</t>
  </si>
  <si>
    <t xml:space="preserve">R2b</t>
  </si>
  <si>
    <t xml:space="preserve">Mismo origen que R2a.</t>
  </si>
  <si>
    <t xml:space="preserve">ORIGEN (Tecamachalco):
O-00251750 3.1 PlantMaster Xtreme 501 Bachoco Tecamachalco Binasa Puebla (ganada, Elegible, 2020-10-23, 111,302 MXN potencial anual registrado)
789991 7.1 PlantMaster Xtreme 501 (Terminator)  Bachoco Tecamachalco Lamuño Puebla (ganada, Elegible, 2025-09-15, 187,626 MXN potencial anual registrado)
DESTINO (Ciénega de Flores):
804237 2.2 VBelt BACHOCO/ RYASA - Cienega de Flores PT &amp; FP-804237 (ganada, Excluida, 2026-07-24, 420,400 MXN potencial anual registrado)
811939 2.2 BACHOCO/ RYASA - Cienega de Flores PT-MV BELTS-811939 (abierta, Excluida, 2026-10-09, 291,252 MXN potencial anual registrado)</t>
  </si>
  <si>
    <t xml:space="preserve">Rastro TIF A-423, Ciénega de Flores, Nuevo León (BCH-013).</t>
  </si>
  <si>
    <t xml:space="preserve">"BACHOCO SA de CV - Cienega de Flores" (cruce por domicilio, confirmado).</t>
  </si>
  <si>
    <t xml:space="preserve">Cuenta creada el 6-abr-2026, segmentada Exporter/Trading Company. 1 ganada (804237 "2.2 VBelt BACHOCO/ RYASA - Cienega de Flores PT &amp; FP-804237", jul-2026) y 1 abierta (811939 "2.2 BACHOCO/ RYASA - Cienega de Flores PT-MV BELTS-811939", potencial anual registrado 291,252, cierre registrado 2026-10-09: fecha ya pasada). Las dos están Excluidas por el programa (segmento intermediario).</t>
  </si>
  <si>
    <t xml:space="preserve">Propietario en el CRM de la región 34 (Noreste); atiende RYASA San Nicolás de los Garza.</t>
  </si>
  <si>
    <t xml:space="preserve">A FAVOR: rastro de aves de la misma razón social, con cuenta activa y relación reciente.
EN CONTRA O FALTA: el sufijo "PT &amp; FP" de la ganada sugiere que ya se vendió algo de potencia fluida (podría ser ampliación y no réplica); la cuenta es nueva; el programa excluyó sus oportunidades por segmento intermediario.</t>
  </si>
  <si>
    <t xml:space="preserve">PARCIAL, más débil que Celaya. Mismo tipo de operación confirmado y cuenta activa, pero la cuenta tiene 6 meses en el CRM y su única ganada ya trae un componente FP sin detalle: la manguera podría estar ya atendida y entonces sería ampliación, no réplica.
Confianza: HIPÓTESIS - baja-media. Operación equivalente confirmada por tipo de planta, pero historial de la cuenta muy corto y contenido FP de 804237 PENDIENTE.
Nota del Excel: las cifras de este dictamen cuentan todo el CRM salvo que diga Elegible. Con la regla del programa el origen de manguera industrial es una sola planta (Tecamachalco), porque Culiacán no tiene oportunidades Elegibles; la confianza del especialista se apoyó en dos plantas origen, así que queda condicionada a que se reclasifique Culiacán (ver Pendientes).</t>
  </si>
  <si>
    <t xml:space="preserve">1) Primero: qué se vendió como FP en 804237 (familia, servicio, equipo).
2) Las mismas validaciones de servicio que en Celaya: fluido, presión, temperatura, químicos de lavado, diámetros y coples; equipos con circuito hidráulico en el rastro y en la planta de rendimiento (BCH-025).
3) Condiciones de entorno a medir, no suponer: temperatura ambiente y del agua de servicio, si el lavado usa agua caliente o vapor, exposición al sol de mangueras en patios o andenes.
4) Confirmar que la compra es para mantenimiento propio (segmentación Exporter/Trading en el CRM).</t>
  </si>
  <si>
    <t xml:space="preserve">MANTENIMIENTO:
1) ¿Entró algún producto de potencia fluida en el cambio de proveedor de julio de 2026 y, si entró, en qué servicio se instaló?
2) ¿En qué servicios usan manguera industrial e hidráulica, con qué presión, temperatura y químicos, y qué marca tienen hoy? COMPRAS:
3) ¿La planta compra para su propio mantenimiento o a través de otra empresa del grupo, y quién aprueba agregar manguera al proveedor actual de bandas?</t>
  </si>
  <si>
    <t xml:space="preserve">R3</t>
  </si>
  <si>
    <t xml:space="preserve">Oportunidades 2.2 PTI que nombran a Optibelt en el Bajío (555451, 555609, 631793: 3 ganadas, banda en V). El CRM las tipifica Replacement / Existing Business, no Competitive Share Gain; que hayan desplazado a Optibelt es HIPÓTESIS.</t>
  </si>
  <si>
    <t xml:space="preserve">555451 2.2 PTI Optibelt Bachoco, S.A. de  C.V. - Planta procesadora de aves Guanajuato - Guanajuato PT-V-BELTS-555451- Ryasa Qro. (ganada, Elegible, 2022-01-28, 525,478 MXN potencial anual registrado)
555609 2.2 PTI Optibelt Bachoco, S.A. de  C.V. - Planta procesadora de aves Guanajuato - Guanajuato PT-V-BELTS-555609- Ryasa Qro (ganada, Elegible, 2022-01-28, 525,478 MXN potencial anual registrado)
631793 2.2 PTI Optibelt Bachoco, S.A. de  C.V. - Planta procesadora de aves Guanajuato - Guanajuato PT-V-BELTS-631793 (ganada, Elegible, 2022-12-29, 341,089 MXN potencial anual registrado)
679801 2.2 PTI Optibelt Bachoco DBS Hermosillo (perdida, Elegible, 2023-12-01, 179,335 MXN potencial anual registrado)</t>
  </si>
  <si>
    <t xml:space="preserve">Hermosillo, Sonora y resto del Noroeste.</t>
  </si>
  <si>
    <t xml:space="preserve">"Bchoco S.A. de C.V. - Planta Hermosillo" (cruce por confirmar con BCH-018). La oportunidad 679801 está capturada en la cuenta "Bachoco" de Cd. Obregón aunque su nombre dice Hermosillo.</t>
  </si>
  <si>
    <t xml:space="preserve">La oferta ya se presentó en Sonora y se perdió (679801, dic-2023). El Noroeste suma 6 perdidas Elegibles (7 con todo el CRM) y 0 ganadas; solo una perdida es de banda en V. No hay rastro de aves de Bachoco con fuente oficial en Sonora. El archivo no trae el motivo de pérdida.</t>
  </si>
  <si>
    <t xml:space="preserve">Sin abiertas. Los propietarios históricos de las 7 perdidas están marcados inactivos (región 37); responsable vigente PENDIENTE.</t>
  </si>
  <si>
    <t xml:space="preserve">A FAVOR: la banda en V se ganó en una planta del grupo y esa misma cuenta perdió intentos en 2019 antes de ganar.
EN CONTRA O FALTA: instalación destino no identificada; no está claro que las del origen hayan sido conversiones; 555451 y 555609 podrían ser captura duplicada; no se sabe qué se sustituyó.</t>
  </si>
  <si>
    <t xml:space="preserve">NO sostenida hoy. No hay destino técnico definido (no se sabe si es planta de aves, de rendimiento, rastro de cerdo de Norson o CEDIS), la conversión del origen no está registrada como tal en el CRM y la misma oferta ya se presentó en Sonora y se perdió sin motivo registrado. Repetirla sin esos datos sería un reintento, no una réplica.
Confianza: PENDIENTE - baja. Reabrir como HIPÓTESIS solo si se identifica la instalación destino, se conoce el motivo de la pérdida de 679801 y se documenta qué se sustituyó en el origen.
Nota del Excel: las cifras de este dictamen cuentan todo el CRM salvo que diga Elegible.</t>
  </si>
  <si>
    <t xml:space="preserve">1) Identificar la instalación destino: aves, rendimiento, cerdo (Norson) o CEDIS; cada una tiene otros equipos y otras condiciones, y solo una planta de aves sería equivalente al origen.
2) Origen: qué se sustituyó en 2022 (banda Optibelt instalada cambiada a Gates en los mismos equipos, o cotización contra equivalencias) y en qué equipos; sin eso no hay argumento técnico que llevar.
3) Destino: inventario de accionamientos por banda en V, perfil y marca instalada, y si la marca la fija un estándar del grupo.
4) Condiciones de servicio a medir, no suponer: temperatura ambiente y polvo, lavado y humedad, horas de operación.
5) Cobertura técnica del distribuidor en la plaza (en 2023 fue DBS Hermosillo).</t>
  </si>
  <si>
    <t xml:space="preserve">MANTENIMIENTO:
1) ¿Qué instalación de Bachoco en Sonora recibió la propuesta de banda en V de 2023 ('2.2 PTI Optibelt Bachoco DBS Hermosillo') y qué equipos con banda en V tiene, con qué marca y perfil?
2) ¿Qué problema tienen hoy con esas bandas (vida, tensión, deslizamiento, lavado, calor, polvo)? COMPRAS:
3) ¿Por qué no se aceptó esa propuesta (precio, prueba técnica, disponibilidad del distribuidor o estándar de marca del grupo) y quién decide la marca de banda en V: la planta o el corporativo? ORIGEN (antes): ¿qué se sustituyó exactamente en 555451, 555609 y 631793?</t>
  </si>
  <si>
    <t xml:space="preserve">No recomendada por ahora</t>
  </si>
  <si>
    <t xml:space="preserve">Cómo dejar las cuentas Bachoco registradas de la misma forma (propuesta)</t>
  </si>
  <si>
    <t xml:space="preserve">Son propuestas. No se cambió nada en el CRM ni en datos_originales. Los valores salen de la tabla oficial de End Market de Gates (guía de alta de oportunidades). Lo que no se pudo confirmar queda como pregunta.</t>
  </si>
  <si>
    <t xml:space="preserve">Campo</t>
  </si>
  <si>
    <t xml:space="preserve">Cómo está hoy (CONFIRMADO en el CRM)</t>
  </si>
  <si>
    <t xml:space="preserve">Propuesta</t>
  </si>
  <si>
    <t xml:space="preserve">Cuentas u oportunidades afectadas (fórmula)</t>
  </si>
  <si>
    <t xml:space="preserve">Nombre de la cuenta</t>
  </si>
  <si>
    <t xml:space="preserve">Formatos mezclados ("Bachoco S.A. de C.V. - X", "Bachoco, S.A. De C.V. - X", "BACHOCO SA de CV - X", "Industrias Bachoco ..."); un error de ortografía ("Bchoco" en Hermosillo); un nombre que contradice el domicilio ("Planta procesadora de aves Sonora" con domicilio en Mexicali, BC); cuatro cuentas en Celaya y una en "San Isidro Crespo", y dos nombres que dicen "Guanajuato".</t>
  </si>
  <si>
    <t xml:space="preserve">Un solo formato: "Bachoco, S.A. de C.V. - {Municipio}" y, si hay más de un sitio en el mismo municipio, agregar " - {tipo de instalación}" (por ejemplo "- Corporativo"). El municipio sale del domicilio verificado, no del nombre. Ver columna "PROPUESTA: nombre".</t>
  </si>
  <si>
    <t xml:space="preserve">End Market (categoría)</t>
  </si>
  <si>
    <t xml:space="preserve">20 cuentas en Food &amp; Beverage y 1 en Agriculture (la creada por integración el 15-abr-2026).</t>
  </si>
  <si>
    <t xml:space="preserve">Food &amp; Beverage para plantas de proceso (la tabla de Gates dice: planta de alimentos = Food &amp; Beverage). Queda como pregunta si las plantas de alimento balanceado, incubadoras y granjas deben ir en Agriculture; hoy no hay cuentas de ese tipo.</t>
  </si>
  <si>
    <t xml:space="preserve">End Market (subcategoría)</t>
  </si>
  <si>
    <t xml:space="preserve">15 con "Manufacturing - Food Processing", 5 vacías y 1 con "Agriculture Equipment".</t>
  </si>
  <si>
    <t xml:space="preserve">"Manufacturing - Food Processing" (es la que usa la guía de alta para plantas de proceso alimentario y la que ya tiene la mayoría).</t>
  </si>
  <si>
    <t xml:space="preserve">Segmentación del cliente</t>
  </si>
  <si>
    <t xml:space="preserve">18 End User, 1 OEM (Culiacán), 1 Exporter/Trading Company (Ciénega de Flores) y 1 Corporate (segunda cuenta de Culiacán). La cuenta que se llama "Corp" está como End User.</t>
  </si>
  <si>
    <t xml:space="preserve">End User para todas las plantas: en la guía de alta, End User es la empresa que usa el producto en su proceso y OEM es la que fabrica productos. Ojo: el programa dejó fuera (Excluida) 5 ganadas de Culiacán por "OEM / primer equipo" y 1 de Ciénega de Flores por "Segmento intermediario", y puso en Revisar 1 de la segunda cuenta de Culiacán. Quién lleva esas cuentas decide; la corrección no se hizo. Las 7 están en la hoja Clasificación dudosa.</t>
  </si>
  <si>
    <t xml:space="preserve">Industria primaria</t>
  </si>
  <si>
    <t xml:space="preserve">Vacía en las 21 cuentas.</t>
  </si>
  <si>
    <t xml:space="preserve">Definir con el administrador del CRM un solo valor para Bachoco y llenarlo en todas. No se propone un valor porque la lista oficial no la tengo.</t>
  </si>
  <si>
    <t xml:space="preserve">Propietario</t>
  </si>
  <si>
    <t xml:space="preserve">1 cuenta con propietario marcado inactivo; 5 cuentas con propietarios que no aparecen en la hoja Team del archivo IR (Cesar Vázquez, 4 cuentas; Dan Weller, 1); 2 cuentas (Mérida y Umán) con el NSM como propietario. 16 de las 20 ganadas del Bajío (todo el CRM) están a nombre de un propietario marcado inactivo.</t>
  </si>
  <si>
    <t xml:space="preserve">Que el gerente regional o el NSM designe a un responsable vigente por sitio y quién recupera los expedientes de los propietarios inactivos, antes de asignar trabajo. Esta hoja solo señala; no asigna a nadie.</t>
  </si>
  <si>
    <t xml:space="preserve">Cuenta corporativa y cuentas repetidas</t>
  </si>
  <si>
    <t xml:space="preserve">La cuenta "Corp" está en Celaya (Av. Tecnológico 401). Tres cuentas de Celaya ("BACHOCO S.A. DE C.V.", "Corp" y "Guanajuato") comparten el mismo contacto principal. Culiacán tiene dos cuentas con el mismo domicilio. Obregón tiene dos y Mérida tiene dos en la misma Ciudad Industrial (CP 97288).</t>
  </si>
  <si>
    <t xml:space="preserve">Una cuenta corporativa y las plantas ligadas a ella, si el CRM maneja jerarquía de cuentas (el archivo que pasaste no trae la columna de cuenta padre). Unir las cuentas repetidas conservando el historial de oportunidades, con el administrador del CRM.</t>
  </si>
  <si>
    <t xml:space="preserve">Contacto principal</t>
  </si>
  <si>
    <t xml:space="preserve">2 cuentas sin contacto principal (Obregón y Cuautla); 7 sin correo del contacto principal.</t>
  </si>
  <si>
    <t xml:space="preserve">Capturar al menos un contacto de mantenimiento o compras por sitio. Se completa en la visita, no se inventa.</t>
  </si>
  <si>
    <t xml:space="preserve">End Market de las oportunidades</t>
  </si>
  <si>
    <t xml:space="preserve">24 de las 68 oportunidades de cuentas Bachoco tienen una categoría distinta a Food &amp; Beverage (22 con Manufacturing - General, 1 con Mining y 1 sin especificar) aunque la cuenta es de alimentos.</t>
  </si>
  <si>
    <t xml:space="preserve">Que cada oportunidad herede el End Market y la subcategoría de la cuenta (la guía de alta dice que vienen pre-llenados desde la cuenta). Lo corrige el propietario de cada oportunidad.</t>
  </si>
  <si>
    <t xml:space="preserve">ID de proyecto en la nomenclatura</t>
  </si>
  <si>
    <t xml:space="preserve">Dos ganadas de Bachoco llevan ID 2.1 (conversión de distribuidores) aunque el cliente es el usuario final: 545700 "2.1 PTI-BACHOCO S.A. DE C.V. PT-V-BELTS- RYASA QRO--545700" y 575363 "2.1 PTI-Bachoco, S.A. de  C.V. - Planta procesadora de aves Guanajuato - Guanajuato PT-V-BELTS-575363". Por eso el programa las excluyó.</t>
  </si>
  <si>
    <t xml:space="preserve">Revisar con quien las capturó si debían ser 2.2 (conversión de usuario final). Mientras no se corrija, quedan fuera del programa (Excluida); siguen contando en los totales de todo el CRM.</t>
  </si>
  <si>
    <t xml:space="preserve">Lo que falta confirmar</t>
  </si>
  <si>
    <t xml:space="preserve">Pendiente o pregunta</t>
  </si>
  <si>
    <t xml:space="preserve">Por qué importa</t>
  </si>
  <si>
    <t xml:space="preserve">Quién puede responder</t>
  </si>
  <si>
    <t xml:space="preserve">Documentar en el origen en qué equipo y servicio se usa cada producto ganado (banda en V en Celaya; Plant Master, MXT e HID en Culiacán y Tecamachalco; qué es el producto "35W").</t>
  </si>
  <si>
    <t xml:space="preserve">Sin saber dónde va cada producto no hay caso técnico que replicar: el CRM no registra la aplicación ni el equipo de ninguna oportunidad.</t>
  </si>
  <si>
    <t xml:space="preserve">Los distribuidores que surtieron esas ganadas (RYASA Querétaro, RYASA Culiacán, Lamuño y Binasa Puebla) y el responsable vigente de cada cuenta (en Celaya, el que designe el gerente del Bajío; ver la pregunta sobre quién lleva hoy el Bajío).</t>
  </si>
  <si>
    <t xml:space="preserve">¿Qué instalación es cada una de las 6 cuentas "por confirmar" y de las 9 sin sitio público? (Mexicali, San Luis Potosí, Tierra Blanca, Gómez Palacio, Obregón-Navojoa, 3 de Celaya y 1 de Mérida.)</t>
  </si>
  <si>
    <t xml:space="preserve">Sin saber qué es cada una no se puede decidir si es una planta nueva por abrir, un duplicado o una oficina.</t>
  </si>
  <si>
    <t xml:space="preserve">Quien lleva hoy cada cuenta, con su distribuidor (RYASA, DBS, EISSA, etc.).</t>
  </si>
  <si>
    <t xml:space="preserve">¿Quién lleva hoy el Bajío y Celaya? 16 de las 20 ganadas del Bajío (todo el CRM) y la cuenta con más ganadas están a nombre de un propietario marcado inactivo.</t>
  </si>
  <si>
    <t xml:space="preserve">Regla del proyecto: no asignar trabajo a inactivos; primero hay que designar quién recupera el expediente.</t>
  </si>
  <si>
    <t xml:space="preserve">El gerente de la región Bajío o el NSM lo designa.</t>
  </si>
  <si>
    <t xml:space="preserve">¿Qué plantas atienden las otras regiones? Hay abiertas de otros propietarios: región 34 (Ciénega de Flores), 35 (Gómez Palacio), 36 (Mérida) y dos en San Luis Potosí (propietario distinto de ti, también en la región 32).</t>
  </si>
  <si>
    <t xml:space="preserve">Marcos dijo que otras regiones ya atienden Bachoco; la campaña debe coordinarse con ellas y no duplicar.</t>
  </si>
  <si>
    <t xml:space="preserve">Marcos, con los propietarios de las abiertas y el NSM.</t>
  </si>
  <si>
    <t xml:space="preserve">¿Alguien atiende la planta de Lagos / Unión de San Antonio? ¿Reabrió después del incendio del 3-may-2026?</t>
  </si>
  <si>
    <t xml:space="preserve">Es el único rastro de aves con fuente oficial sin cuenta en el CRM. Una reparación posterior a un incendio no es demanda confirmada.</t>
  </si>
  <si>
    <t xml:space="preserve">Distribuidor de Guadalajara (BAMAC) y otras regiones; prensa local.</t>
  </si>
  <si>
    <t xml:space="preserve">Motivo de pérdida de las 6 perdidas Elegibles del Noroeste y de las 6 de bandas síncronas, poliuretano y micro-V.</t>
  </si>
  <si>
    <t xml:space="preserve">Motivo no disponible: el CRM no tiene ese campo. Sin saberlo no conviene replicar ahí.</t>
  </si>
  <si>
    <t xml:space="preserve">El gerente de la región Noroeste designa quién recupera el expediente (los propietarios históricos están marcados inactivos); el distribuidor DBS o RYASA puede aportar lo que recuerde.</t>
  </si>
  <si>
    <t xml:space="preserve">¿La segmentación correcta de Culiacán es End User, y la de Ciénega de Flores también?</t>
  </si>
  <si>
    <t xml:space="preserve">Con OEM o Exporter/Trading el programa dejó fuera 6 ganadas (Excluida) y, por la cuenta Corporate, puso 1 en Revisar: 4.2 millones bruto en total. La guía de alta dice que End User es quien usa el producto en su proceso. Si se corrigen, Culiacán podría sustentar un caso.</t>
  </si>
  <si>
    <t xml:space="preserve">Marcos (Culiacán) y el propietario de Ciénega de Flores en el CRM.</t>
  </si>
  <si>
    <t xml:space="preserve">¿El CRM tiene jerarquía de cuentas (cuenta padre y plantas hijas)? El archivo que pasaste no trae esa columna.</t>
  </si>
  <si>
    <t xml:space="preserve">Si existe, "Corp" debería ser la cuenta padre y las plantas colgar de ella.</t>
  </si>
  <si>
    <t xml:space="preserve">Administrador del CRM.</t>
  </si>
  <si>
    <t xml:space="preserve">¿Qué End Market y subcategoría usa Gates para granjas, incubadoras y plantas de alimento balanceado?</t>
  </si>
  <si>
    <t xml:space="preserve">Hoy no hay cuentas de ese tipo, pero si se dan de alta hay que usar el mismo valor en todas.</t>
  </si>
  <si>
    <t xml:space="preserve">Administrador del CRM / gerencia comercial.</t>
  </si>
  <si>
    <t xml:space="preserve">¿Cuáles cuentas repetidas se unen? (Culiacán 2, Celaya 3 a 5, Obregón 2, Mérida 2.)</t>
  </si>
  <si>
    <t xml:space="preserve">Unir cuentas cambia el historial; no lo hice ni lo propongo sin tu visto bueno y el del administrador.</t>
  </si>
  <si>
    <t xml:space="preserve">Marcos y el administrador del CRM.</t>
  </si>
  <si>
    <t xml:space="preserve">Verificar con Bachoco o su distribuidor la vigencia 2026 de las plantas de la lista pública.</t>
  </si>
  <si>
    <t xml:space="preserve">Las direcciones de los rastros vienen del directorio de SENASICA 2024 (el vigente, del 13-oct-2026, no se pudo leer) y los datos de las plantas de alimento vienen de páginas sin fecha.</t>
  </si>
  <si>
    <t xml:space="preserve">Investigación de plantas, con visita o llamada.</t>
  </si>
  <si>
    <t xml:space="preserve">La oportunidad O-00231727 "2.2  PT - Bachoco - Ryasa - MID" (perdida, 2020) y la O-00222445 "8 BACHOCO - Tuxtla Gutierrez" (perdida, 2019) están capturadas en cuentas de distribuidor.</t>
  </si>
  <si>
    <t xml:space="preserve">Sugieren sitios de Bachoco en Mérida y Tuxtla Gutiérrez que no están como cuenta propia. No hay sitio público en Tuxtla.</t>
  </si>
  <si>
    <t xml:space="preserve">El propietario en el CRM de esas oportunidades (cuentas especiales, región 45/46).</t>
  </si>
  <si>
    <t xml:space="preserve">Las 3 abiertas posteriores al corte de DETALLE no tienen decisión del programa: 812953 "2.2 PCC Martin Bachoco San Luis Potosi - Ryasa SLP - 812953", 812811 "2.2 Parker Bachoco San Luis Potosi  Ryasa SLP -812811" y 812577 "7.1 / TPU / Bachoco / BRR Torreón".</t>
  </si>
  <si>
    <t xml:space="preserve">No entran en la clasificación Elegible / Excluida / Revisar y por eso no cuentan en el universo Elegible.</t>
  </si>
  <si>
    <t xml:space="preserve">Quien mantiene la base del programa.</t>
  </si>
  <si>
    <t xml:space="preserve">Dos abiertas ya pasaron su fecha de cierre registrada: 811939 "2.2 BACHOCO/ RYASA - Cienega de Flores PT-MV BELTS-811939" (2026-10-09) y 810579 "2.2 PTV Continental Bachoco Mérida Eissa Mérida" (2026-09-18).</t>
  </si>
  <si>
    <t xml:space="preserve">Pueden estar vencidas o ganadas sin actualizar; cambia el conteo de abiertas.</t>
  </si>
  <si>
    <t xml:space="preserve">Los propietarios de esas oportunidades en el CRM (regiones 34 y 36).</t>
  </si>
  <si>
    <t xml:space="preserve">Nomenclatura completa (campo Nombre de oportunidad)</t>
  </si>
  <si>
    <t xml:space="preserve">¿Cuenta Bachoco?</t>
  </si>
  <si>
    <t xml:space="preserve">Municipio de la cuenta</t>
  </si>
  <si>
    <t xml:space="preserve">Estado de la cuenta</t>
  </si>
  <si>
    <t xml:space="preserve">Potencial anual MXN (registrado; NO es facturación)</t>
  </si>
  <si>
    <t xml:space="preserve">Posible re-registro (mismo monto en la misma zona)</t>
  </si>
  <si>
    <t xml:space="preserve">ID de proyecto</t>
  </si>
  <si>
    <t xml:space="preserve">Tipo (CRM)</t>
  </si>
  <si>
    <t xml:space="preserve">Línea según la nomenclatura</t>
  </si>
  <si>
    <t xml:space="preserve">Base de la clasificación</t>
  </si>
  <si>
    <t xml:space="preserve">Competidor nombrado en la nomenclatura</t>
  </si>
  <si>
    <t xml:space="preserve">Distribuidor (Supplier)</t>
  </si>
  <si>
    <t xml:space="preserve">Región CRM</t>
  </si>
  <si>
    <t xml:space="preserve">¿Propietario marcado inactivo?</t>
  </si>
  <si>
    <t xml:space="preserve">Segmentación en la oportunidad</t>
  </si>
  <si>
    <t xml:space="preserve">End Market en la oportunidad</t>
  </si>
  <si>
    <t xml:space="preserve">Subcategoría en la oportunidad</t>
  </si>
  <si>
    <t xml:space="preserve">Nota</t>
  </si>
  <si>
    <t xml:space="preserve">Categoría del tipo de oportunidad (CRM)</t>
  </si>
  <si>
    <t xml:space="preserve">7.1</t>
  </si>
  <si>
    <t xml:space="preserve">Incremental</t>
  </si>
  <si>
    <t xml:space="preserve">Manguera hidráulica (FP-HYDRAULICS)</t>
  </si>
  <si>
    <t xml:space="preserve">abreviatura en el nombre</t>
  </si>
  <si>
    <t xml:space="preserve">Rodamientos y accesorios, S.A. de C.V. - 100807 - Culiacan</t>
  </si>
  <si>
    <t xml:space="preserve">32 Pacífico</t>
  </si>
  <si>
    <t xml:space="preserve">Adding Different Product Line</t>
  </si>
  <si>
    <t xml:space="preserve">4.1</t>
  </si>
  <si>
    <t xml:space="preserve">Replacement</t>
  </si>
  <si>
    <t xml:space="preserve">Banda en V / transmisión (PT-V-BELTS)</t>
  </si>
  <si>
    <t xml:space="preserve">Rodamientos Y Accesorios S.A. de C.V. - 050308 - Celaya</t>
  </si>
  <si>
    <t xml:space="preserve">38 Bajío</t>
  </si>
  <si>
    <t xml:space="preserve">Manufacturing - General</t>
  </si>
  <si>
    <t xml:space="preserve">Other</t>
  </si>
  <si>
    <t xml:space="preserve">Existing Business</t>
  </si>
  <si>
    <t xml:space="preserve">4.2</t>
  </si>
  <si>
    <t xml:space="preserve">2.1</t>
  </si>
  <si>
    <t xml:space="preserve">sufijo de línea en el nombre</t>
  </si>
  <si>
    <t xml:space="preserve">Competitive Share Gain - Branch Changeover</t>
  </si>
  <si>
    <t xml:space="preserve">2.2</t>
  </si>
  <si>
    <t xml:space="preserve">Mixta PT y FP</t>
  </si>
  <si>
    <t xml:space="preserve">RODAMIENTOS Y ACCESORIOS, S.A. DE C - 30902 - SAN NICOLAS DE LOS GARZA</t>
  </si>
  <si>
    <t xml:space="preserve">34 Noreste</t>
  </si>
  <si>
    <t xml:space="preserve">Banda micro-V (PT-MV BELTS)</t>
  </si>
  <si>
    <t xml:space="preserve">2.2 Pti Bachoco RYASA</t>
  </si>
  <si>
    <t xml:space="preserve">RODAMIENTOS Y ACCESORIOS S.A. DE C.V. - 050308 - QUERETARO</t>
  </si>
  <si>
    <t xml:space="preserve">Elegible</t>
  </si>
  <si>
    <t xml:space="preserve">End User y aplicación identificable por nomenclatura; sujeto a validación comercial</t>
  </si>
  <si>
    <t xml:space="preserve">7.1 PTI- BACHOCO, S.A. DE C.V - Planta de alimentos division Bajio PT-V-BELTS-569067- RYASA QRO</t>
  </si>
  <si>
    <t xml:space="preserve">679801</t>
  </si>
  <si>
    <t xml:space="preserve">2.2 PTI Optibelt Bachoco DBS Hermosillo</t>
  </si>
  <si>
    <t xml:space="preserve">Optibelt</t>
  </si>
  <si>
    <t xml:space="preserve">DISTRIBUIDORA DE BALEROS DEL SURESTE S.A. DE C.V. - 040718 - HERMOSILLO</t>
  </si>
  <si>
    <t xml:space="preserve">37 Noroeste</t>
  </si>
  <si>
    <t xml:space="preserve">Banda síncrona Poly Chain (PCC)</t>
  </si>
  <si>
    <t xml:space="preserve">Rodamientos y Accesorios, S.A. DE C.V. - 50411 - Cd. Obregon.</t>
  </si>
  <si>
    <t xml:space="preserve">New Outlet / Branch Set Up</t>
  </si>
  <si>
    <t xml:space="preserve">544347</t>
  </si>
  <si>
    <t xml:space="preserve">7.1 TPU Bachoco S.A. DE C.V. - Planta procesadora de aves Sonora PT-PU BELTS-544347</t>
  </si>
  <si>
    <t xml:space="preserve">Banda poliuretano / TPU (PT-PU BELTS)</t>
  </si>
  <si>
    <t xml:space="preserve">Rodamientos y Accesorios S.A. de C.V. 10610 Mexicali</t>
  </si>
  <si>
    <t xml:space="preserve">Abel Inactive Valenzuela</t>
  </si>
  <si>
    <t xml:space="preserve">573657</t>
  </si>
  <si>
    <t xml:space="preserve">7.1 MXT Bachoco S.A. DE C.V. Planta Mexicali</t>
  </si>
  <si>
    <t xml:space="preserve">573658</t>
  </si>
  <si>
    <t xml:space="preserve">7.1 MXT Bachoco S.A. DE C.V. - Planta procesadora de aves Mexicali</t>
  </si>
  <si>
    <t xml:space="preserve">562416</t>
  </si>
  <si>
    <t xml:space="preserve">7.1 TPU Posiclean Bachoco Hermosillo DBS Hermosillo</t>
  </si>
  <si>
    <t xml:space="preserve">O-00222514</t>
  </si>
  <si>
    <t xml:space="preserve">2.2 PTI Rexon Bachoco Ryasa Ver</t>
  </si>
  <si>
    <t xml:space="preserve">Rexon</t>
  </si>
  <si>
    <t xml:space="preserve">RODAMIENTOS Y ACCESORIOS, S.A. DE C - 20407 - VERACRUZ</t>
  </si>
  <si>
    <t xml:space="preserve">36 Península</t>
  </si>
  <si>
    <t xml:space="preserve">552710</t>
  </si>
  <si>
    <t xml:space="preserve">7.1 V-Belts Bachoco Veracruz Ryasa Veracruz</t>
  </si>
  <si>
    <t xml:space="preserve">7.1 V-Belts Bachoco Veracruz SNR Córdoba</t>
  </si>
  <si>
    <t xml:space="preserve">SURTIDORA NACIONAL DE RODAMIENTOS,  - 10406 - CORDOBA</t>
  </si>
  <si>
    <t xml:space="preserve">O-00224369</t>
  </si>
  <si>
    <t xml:space="preserve">2.2 PT-Bachoco-Ryasa</t>
  </si>
  <si>
    <t xml:space="preserve">Transmisión de potencia (sin detalle de producto)</t>
  </si>
  <si>
    <t xml:space="preserve">PT / competidor de transmisión en el nombre</t>
  </si>
  <si>
    <t xml:space="preserve">Mining</t>
  </si>
  <si>
    <t xml:space="preserve">O-00234498</t>
  </si>
  <si>
    <t xml:space="preserve">7.1 Pti Bachoco-Ryasa Qro</t>
  </si>
  <si>
    <t xml:space="preserve">Rodamientos Y Accesorio S.A. de C.V. - 5308 - QRO.</t>
  </si>
  <si>
    <t xml:space="preserve">Kits de transmisión (PT-KITS)</t>
  </si>
  <si>
    <t xml:space="preserve">3.1</t>
  </si>
  <si>
    <t xml:space="preserve">Manguera industrial (FP-IND HOSE &amp; CPLG)</t>
  </si>
  <si>
    <t xml:space="preserve"> </t>
  </si>
  <si>
    <t xml:space="preserve">645879</t>
  </si>
  <si>
    <t xml:space="preserve">7.1 TPU Bchoco S.A. de C.V. - Planta Gomez Palacio PT-PU BELTS-645879</t>
  </si>
  <si>
    <t xml:space="preserve">DISTRIBUIDORA DE BALEROS DEL SURESTE, S.A. DE C.V. - 060716 - TORREON</t>
  </si>
  <si>
    <t xml:space="preserve">Sin región</t>
  </si>
  <si>
    <t xml:space="preserve">Armando Inactive Hernández</t>
  </si>
  <si>
    <t xml:space="preserve">BINASA RODAMIENTOS Y REFACCIONES S DE RL DE CV - 10522 - TORREON</t>
  </si>
  <si>
    <t xml:space="preserve">35 Norte</t>
  </si>
  <si>
    <t xml:space="preserve">Posterior al corte de DETALLE</t>
  </si>
  <si>
    <t xml:space="preserve">Martin</t>
  </si>
  <si>
    <t xml:space="preserve">Rodamientos Y Accesorios  S.A. de C.V. - 050308 - San Luis Potosi</t>
  </si>
  <si>
    <t xml:space="preserve">competidor Parker en el nombre (línea hidráulica)</t>
  </si>
  <si>
    <t xml:space="preserve">Parker</t>
  </si>
  <si>
    <t xml:space="preserve">O-00240039</t>
  </si>
  <si>
    <t xml:space="preserve">2.2 V-Belts Bachoco Ryasa Puebla</t>
  </si>
  <si>
    <t xml:space="preserve">RODAMIENTOS Y ACCESORIOS, S.A. DE C - 70308 - PUEBLA</t>
  </si>
  <si>
    <t xml:space="preserve">O-00245934</t>
  </si>
  <si>
    <t xml:space="preserve">2.2 MI Continental Bachoco Trumex Puebla</t>
  </si>
  <si>
    <t xml:space="preserve">abreviatura MI en el nombre</t>
  </si>
  <si>
    <t xml:space="preserve">Continental</t>
  </si>
  <si>
    <t xml:space="preserve">LAURA GUADALUPE MOYADO DEL VALLE-TRUMEX - 40616 - Rio Blanco Veracruz</t>
  </si>
  <si>
    <t xml:space="preserve">REFACCIONARIA INDUSTRIAL LAMUÑO HER - 76672 - PUEBLA</t>
  </si>
  <si>
    <t xml:space="preserve">2.2 V-Belts-Bachoco Tecamachalco Lamuño Puebla</t>
  </si>
  <si>
    <t xml:space="preserve">33 Sureste</t>
  </si>
  <si>
    <t xml:space="preserve">O-00249657</t>
  </si>
  <si>
    <t xml:space="preserve">3.1 Plant Master Xtreme 325 (19B) Bachoco Tecamachalco Lamuño Puebla</t>
  </si>
  <si>
    <t xml:space="preserve">producto Plant Master en el nombre</t>
  </si>
  <si>
    <t xml:space="preserve">O-00251750</t>
  </si>
  <si>
    <t xml:space="preserve">3.1 PlantMaster Xtreme 501 Bachoco Tecamachalco Binasa Puebla</t>
  </si>
  <si>
    <t xml:space="preserve">BINASA RODAMIENTOS Y REFACCIONES, S. DE R.L. DE C. - 10114 - Puebla</t>
  </si>
  <si>
    <t xml:space="preserve">O-00254712</t>
  </si>
  <si>
    <t xml:space="preserve">3.1 PlantMaster Terminator Bachoco Tecamachalco Lamuño Puebla</t>
  </si>
  <si>
    <t xml:space="preserve">532984</t>
  </si>
  <si>
    <t xml:space="preserve">7.1 V-Belts Bachoco Tecamachalco Lamuño Puebla</t>
  </si>
  <si>
    <t xml:space="preserve">552712</t>
  </si>
  <si>
    <t xml:space="preserve">7.1 V-Belts Bachoco Tecamachalco Binasa Puebla</t>
  </si>
  <si>
    <t xml:space="preserve">#Please Specify#</t>
  </si>
  <si>
    <t xml:space="preserve">7.1 V-Belts Bachoco Tecamachalco Lamuño Puebla.</t>
  </si>
  <si>
    <t xml:space="preserve">REFACCIONARIA INDUSTRIAL LAMUNO HERMANOS - 76672 - PUEBLA</t>
  </si>
  <si>
    <t xml:space="preserve">679094</t>
  </si>
  <si>
    <t xml:space="preserve">7.1 V-Belts Tripower Bachoco Tecamachalco Lamuño Puebla.</t>
  </si>
  <si>
    <t xml:space="preserve">734890</t>
  </si>
  <si>
    <t xml:space="preserve">2.2 Hid Parker Bachoco Tecamachalco Ryasa Puebla</t>
  </si>
  <si>
    <t xml:space="preserve">CUENTA DUPLICADA - 70308 - PUEBLA</t>
  </si>
  <si>
    <t xml:space="preserve">789991</t>
  </si>
  <si>
    <t xml:space="preserve">7.1 PlantMaster Xtreme 501 (Terminator)  Bachoco Tecamachalco Lamuño Puebla</t>
  </si>
  <si>
    <t xml:space="preserve">7.1 V-Belts Tripower AX60 Bachoco Tecamachalco RILSA2000 Puebla.</t>
  </si>
  <si>
    <t xml:space="preserve">RILSA 2000, S.A. DE C.V. - 30599 - PUEBLA</t>
  </si>
  <si>
    <t xml:space="preserve">O-00217074</t>
  </si>
  <si>
    <t xml:space="preserve">2.2 SOM Optibelt - Bachoco - EISSA - MID</t>
  </si>
  <si>
    <t xml:space="preserve">Especialidades Industriales del Sureste SA de CV - 50200 - Mérida</t>
  </si>
  <si>
    <t xml:space="preserve">O-00190116</t>
  </si>
  <si>
    <t xml:space="preserve">7.1 PCC B2B EXTRACTORES -DEZPLAZANDO COMPETIDOR OPT AVX13X1575-BACHOCO BAJIO</t>
  </si>
  <si>
    <t xml:space="preserve">OPT (abreviatura; sin confirmar)</t>
  </si>
  <si>
    <t xml:space="preserve">O-00218689</t>
  </si>
  <si>
    <t xml:space="preserve">7.1 PCC C2B-Bachoco Lagos- Bamac Guadalajara</t>
  </si>
  <si>
    <t xml:space="preserve">BANDAS Y  MANGUERAS EL CAMINO SA DE - 60311 - GUADALAJARA</t>
  </si>
  <si>
    <t xml:space="preserve">7.1 PTI-BACHOCO BAJIO-RYASA QRO</t>
  </si>
  <si>
    <t xml:space="preserve">7.1 Bachoco, S.A. de  C.V. - Planta procesadora de aves Guanajuato - Guanajuato PT-V-BELTS-521646</t>
  </si>
  <si>
    <t xml:space="preserve">Existing Changeover</t>
  </si>
  <si>
    <t xml:space="preserve">2.2 PTI-Bachoco, S.A. de  C.V. - Planta procesadora de aves Guanajuato - Guanajuato PT-V-BELTS-Ryasa Qro</t>
  </si>
  <si>
    <t xml:space="preserve">Rodamientos Y Accesorio S.A. de C.V. - 50308 - QRO.</t>
  </si>
  <si>
    <t xml:space="preserve">New Line Expansion</t>
  </si>
  <si>
    <t xml:space="preserve">2.2 PTI Optibelt Bachoco, S.A. de  C.V. - Planta procesadora de aves Guanajuato - Guanajuato PT-V-BELTS-555451- Ryasa Qro.</t>
  </si>
  <si>
    <t xml:space="preserve">2.2 PTI Optibelt Bachoco, S.A. de  C.V. - Planta procesadora de aves Guanajuato - Guanajuato PT-V-BELTS-555609- Ryasa Qro</t>
  </si>
  <si>
    <t xml:space="preserve">631793</t>
  </si>
  <si>
    <t xml:space="preserve">2.2 PTI Optibelt Bachoco, S.A. de  C.V. - Planta procesadora de aves Guanajuato - Guanajuato PT-V-BELTS-631793</t>
  </si>
  <si>
    <t xml:space="preserve">7.1 V-Belts Bachoco, S.A. de  C.V. - Planta procesadora de aves Guanajuato - Guanajuato PT-V-BELTS-643201</t>
  </si>
  <si>
    <t xml:space="preserve">699417</t>
  </si>
  <si>
    <t xml:space="preserve">2.2. PTV-Bachoco, S.A. de  C.V. - Planta procesadora de aves Guanajuato - Guanajuato PT-V-BELTS-RYASA QRO-699417</t>
  </si>
  <si>
    <t xml:space="preserve">Manufacturing - Other</t>
  </si>
  <si>
    <t xml:space="preserve">714875</t>
  </si>
  <si>
    <t xml:space="preserve">2.2 PTV- Bachoco, S.A. de  C.V. - Planta procesadora de aves Guanajuato - Guanajuato PT-V-BELTS-714875- Ryasa Qro</t>
  </si>
  <si>
    <t xml:space="preserve">723648</t>
  </si>
  <si>
    <t xml:space="preserve">2.2 PTV-Bachoco, S.A. de  C.V. - Planta procesadora de aves Guanajuato - Guanajuato PT-V-BELTS-723648</t>
  </si>
  <si>
    <t xml:space="preserve">712593</t>
  </si>
  <si>
    <t xml:space="preserve">2.2 Hid Parker Bachoco Coatzacoalcos Comimsa Coatzacoalcos</t>
  </si>
  <si>
    <t xml:space="preserve">Conexiones y Mangueras Industriales, S. A. de C. V. - 11200 - Coatzacoalcos</t>
  </si>
  <si>
    <t xml:space="preserve">776249</t>
  </si>
  <si>
    <t xml:space="preserve">2.2 Neu Festo Bachoco Coatzacoalcos Ryasa Coatzacoalcos</t>
  </si>
  <si>
    <t xml:space="preserve">Neumática</t>
  </si>
  <si>
    <t xml:space="preserve">Festo</t>
  </si>
  <si>
    <t xml:space="preserve">RODAMIENTOS Y ACCESORIOS, S.A. DE C -030411-COATZACOALCOS</t>
  </si>
  <si>
    <t xml:space="preserve">O-00229391</t>
  </si>
  <si>
    <t xml:space="preserve">7.1 PCC B2B Bachoco Hmo DBS Hermosillo</t>
  </si>
  <si>
    <t xml:space="preserve">Distribuidora de Baleros del Sureste S.A. DE C.V. - 040718 - Hermosillo</t>
  </si>
  <si>
    <t xml:space="preserve">723893</t>
  </si>
  <si>
    <t xml:space="preserve">7.1 PCC B2B - Bachoco - EISSA - Mérida</t>
  </si>
  <si>
    <t xml:space="preserve">Especialidades Industriales del Sureste SA de CV - 50200 - Merida</t>
  </si>
  <si>
    <t xml:space="preserve">O-00244499</t>
  </si>
  <si>
    <t xml:space="preserve">2.2 MI JASON - BACHOCO MERIDA - EISSA - MID</t>
  </si>
  <si>
    <t xml:space="preserve">Jason</t>
  </si>
  <si>
    <t xml:space="preserve">O-00224097</t>
  </si>
  <si>
    <t xml:space="preserve">2.2 PTI CONTITECH - Bachoco Mérida - EISSA</t>
  </si>
  <si>
    <t xml:space="preserve">Contitech</t>
  </si>
  <si>
    <t xml:space="preserve">810579</t>
  </si>
  <si>
    <t xml:space="preserve">2.2 PTV Continental Bachoco Mérida Eissa Mérida</t>
  </si>
  <si>
    <t xml:space="preserve">O-00231727</t>
  </si>
  <si>
    <t xml:space="preserve">2.2  PT - Bachoco - Ryasa - MID</t>
  </si>
  <si>
    <t xml:space="preserve">RODAMIENTOS Y ACCESORIOS, S.A. DE C - 20907 - MERIDA</t>
  </si>
  <si>
    <t xml:space="preserve">Referencia en cuenta de distribuidor (no es cuenta Bachoco)</t>
  </si>
  <si>
    <t xml:space="preserve">45/46 Cuentas especiales</t>
  </si>
  <si>
    <t xml:space="preserve">Alder Avila</t>
  </si>
  <si>
    <t xml:space="preserve">Distributor</t>
  </si>
  <si>
    <t xml:space="preserve">O-00222445</t>
  </si>
  <si>
    <t xml:space="preserve">8 BACHOCO - Tuxtla Gutierrez</t>
  </si>
  <si>
    <t xml:space="preserve">Rodamientos y Accesorios SA de CV - 30216 - Villahermosa, Tabasco</t>
  </si>
  <si>
    <t xml:space="preserve">No aplica (alta de distribuidor, ID 8)</t>
  </si>
  <si>
    <t xml:space="preserve">ID 8 = nuevos distribuidores</t>
  </si>
  <si>
    <t xml:space="preserve">Segmento intermediario; OEM / primer equipo</t>
  </si>
  <si>
    <t xml:space="preserve">Competitive Share Gain - Existing Direct OEM</t>
  </si>
</sst>
</file>

<file path=xl/styles.xml><?xml version="1.0" encoding="utf-8"?>
<styleSheet xmlns="http://schemas.openxmlformats.org/spreadsheetml/2006/main">
  <numFmts count="7">
    <numFmt numFmtId="164" formatCode="General"/>
    <numFmt numFmtId="165" formatCode="General"/>
    <numFmt numFmtId="166" formatCode="0%"/>
    <numFmt numFmtId="167" formatCode="#,##0"/>
    <numFmt numFmtId="168" formatCode="yyyy\-mm\-dd"/>
    <numFmt numFmtId="169" formatCode="#,##0;\(#,##0\);\-"/>
    <numFmt numFmtId="170" formatCode="@"/>
  </numFmts>
  <fonts count="15">
    <font>
      <sz val="11"/>
      <color theme="1"/>
      <name val="Calibri"/>
      <family val="2"/>
      <charset val="1"/>
    </font>
    <font>
      <sz val="10"/>
      <name val="Arial"/>
      <family val="0"/>
    </font>
    <font>
      <sz val="10"/>
      <name val="Arial"/>
      <family val="0"/>
    </font>
    <font>
      <sz val="10"/>
      <name val="Arial"/>
      <family val="0"/>
    </font>
    <font>
      <b val="true"/>
      <sz val="15"/>
      <color rgb="FF000000"/>
      <name val="Arial"/>
      <family val="0"/>
      <charset val="1"/>
    </font>
    <font>
      <i val="true"/>
      <sz val="10"/>
      <color rgb="FF000000"/>
      <name val="Arial"/>
      <family val="0"/>
      <charset val="1"/>
    </font>
    <font>
      <b val="true"/>
      <sz val="11"/>
      <color rgb="FF000000"/>
      <name val="Arial"/>
      <family val="0"/>
      <charset val="1"/>
    </font>
    <font>
      <b val="true"/>
      <sz val="10"/>
      <color rgb="FFFFFFFF"/>
      <name val="Arial"/>
      <family val="0"/>
      <charset val="1"/>
    </font>
    <font>
      <sz val="11"/>
      <color rgb="FF000000"/>
      <name val="Arial"/>
      <family val="0"/>
      <charset val="1"/>
    </font>
    <font>
      <sz val="10"/>
      <color rgb="FF000000"/>
      <name val="Arial"/>
      <family val="0"/>
      <charset val="1"/>
    </font>
    <font>
      <b val="true"/>
      <sz val="10"/>
      <color rgb="FF000000"/>
      <name val="Arial"/>
      <family val="0"/>
      <charset val="1"/>
    </font>
    <font>
      <sz val="8"/>
      <color rgb="FF000000"/>
      <name val="Arial"/>
      <family val="0"/>
      <charset val="1"/>
    </font>
    <font>
      <b val="true"/>
      <sz val="13"/>
      <color rgb="FF000000"/>
      <name val="Arial"/>
      <family val="0"/>
      <charset val="1"/>
    </font>
    <font>
      <b val="true"/>
      <sz val="10"/>
      <color rgb="FF0000FF"/>
      <name val="Arial"/>
      <family val="0"/>
      <charset val="1"/>
    </font>
    <font>
      <sz val="8"/>
      <color rgb="FF808080"/>
      <name val="Arial"/>
      <family val="0"/>
      <charset val="1"/>
    </font>
  </fonts>
  <fills count="6">
    <fill>
      <patternFill patternType="none"/>
    </fill>
    <fill>
      <patternFill patternType="gray125"/>
    </fill>
    <fill>
      <patternFill patternType="solid">
        <fgColor rgb="FF2F3B4C"/>
        <bgColor rgb="FF333300"/>
      </patternFill>
    </fill>
    <fill>
      <patternFill patternType="solid">
        <fgColor rgb="FFEDEDED"/>
        <bgColor rgb="FFD9E1EC"/>
      </patternFill>
    </fill>
    <fill>
      <patternFill patternType="solid">
        <fgColor rgb="FFD9E1EC"/>
        <bgColor rgb="FFD6E4F5"/>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9" fontId="6" fillId="0" borderId="1" xfId="0" applyFont="true" applyBorder="true" applyAlignment="true" applyProtection="false">
      <alignment horizontal="center" vertical="center"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2F3B4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6C9"/>
          <bgColor rgb="FF000000"/>
        </patternFill>
      </fill>
    </dxf>
    <dxf>
      <fill>
        <patternFill patternType="solid">
          <fgColor rgb="FFD6E4F5"/>
          <bgColor rgb="FF000000"/>
        </patternFill>
      </fill>
    </dxf>
    <dxf>
      <fill>
        <patternFill patternType="solid">
          <fgColor rgb="FFEDEDED"/>
          <bgColor rgb="FF000000"/>
        </patternFill>
      </fill>
    </dxf>
    <dxf>
      <fill>
        <patternFill patternType="solid">
          <fgColor rgb="FFF6C9C9"/>
          <bgColor rgb="FF000000"/>
        </patternFill>
      </fill>
    </dxf>
    <dxf>
      <fill>
        <patternFill patternType="solid">
          <fgColor rgb="FFFBE5B0"/>
          <bgColor rgb="FF000000"/>
        </patternFill>
      </fill>
    </dxf>
    <dxf>
      <fill>
        <patternFill>
          <bgColor rgb="FFC6E6C9"/>
        </patternFill>
      </fill>
    </dxf>
    <dxf>
      <fill>
        <patternFill>
          <bgColor rgb="FFF6C9C9"/>
        </patternFill>
      </fill>
    </dxf>
    <dxf>
      <fill>
        <patternFill>
          <bgColor rgb="FFFBE5B0"/>
        </patternFill>
      </fill>
    </dxf>
    <dxf>
      <fill>
        <patternFill>
          <bgColor rgb="FFD6E4F5"/>
        </patternFill>
      </fill>
    </dxf>
    <dxf>
      <fill>
        <patternFill>
          <bgColor rgb="FFEDEDED"/>
        </patternFill>
      </fill>
    </dxf>
    <dxf>
      <fill>
        <patternFill patternType="solid">
          <fgColor rgb="FFD9E1E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6E4F5"/>
      <rgbColor rgb="FF660066"/>
      <rgbColor rgb="FFFF8080"/>
      <rgbColor rgb="FF0066CC"/>
      <rgbColor rgb="FFD9E1EC"/>
      <rgbColor rgb="FF000080"/>
      <rgbColor rgb="FFFF00FF"/>
      <rgbColor rgb="FFFFFF00"/>
      <rgbColor rgb="FF00FFFF"/>
      <rgbColor rgb="FF800080"/>
      <rgbColor rgb="FF800000"/>
      <rgbColor rgb="FF008080"/>
      <rgbColor rgb="FF0000FF"/>
      <rgbColor rgb="FF00CCFF"/>
      <rgbColor rgb="FFCCFFFF"/>
      <rgbColor rgb="FFC6E6C9"/>
      <rgbColor rgb="FFFBE5B0"/>
      <rgbColor rgb="FF99CCFF"/>
      <rgbColor rgb="FFFF99CC"/>
      <rgbColor rgb="FFCC99FF"/>
      <rgbColor rgb="FFF6C9C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3B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D7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8"/>
    <col collapsed="false" customWidth="true" hidden="false" outlineLevel="0" max="4" min="4" style="0" width="92"/>
  </cols>
  <sheetData>
    <row r="1" customFormat="false" ht="18.55" hidden="false" customHeight="false" outlineLevel="0" collapsed="false">
      <c r="A1" s="1" t="s">
        <v>0</v>
      </c>
    </row>
    <row r="2" customFormat="false" ht="48" hidden="false" customHeight="true" outlineLevel="0" collapsed="false">
      <c r="A2" s="2" t="s">
        <v>1</v>
      </c>
      <c r="B2" s="2"/>
      <c r="C2" s="2"/>
      <c r="D2" s="2"/>
    </row>
    <row r="4" customFormat="false" ht="15" hidden="false" customHeight="false" outlineLevel="0" collapsed="false">
      <c r="A4" s="3" t="s">
        <v>2</v>
      </c>
    </row>
    <row r="5" customFormat="false" ht="21.75" hidden="false" customHeight="true" outlineLevel="0" collapsed="false">
      <c r="A5" s="4" t="s">
        <v>3</v>
      </c>
      <c r="B5" s="4" t="s">
        <v>4</v>
      </c>
      <c r="C5" s="4"/>
      <c r="D5" s="4" t="s">
        <v>5</v>
      </c>
    </row>
    <row r="6" customFormat="false" ht="15" hidden="false" customHeight="false" outlineLevel="0" collapsed="false">
      <c r="A6" s="5" t="s">
        <v>6</v>
      </c>
      <c r="B6" s="6" t="n">
        <f aca="false">COUNTA('Cuentas CRM y homologación'!$B$2:$B$22)</f>
        <v>21</v>
      </c>
      <c r="C6" s="7"/>
      <c r="D6" s="5" t="s">
        <v>7</v>
      </c>
    </row>
    <row r="7" customFormat="false" ht="15" hidden="false" customHeight="false" outlineLevel="0" collapsed="false">
      <c r="A7" s="5" t="s">
        <v>8</v>
      </c>
      <c r="B7" s="6" t="n">
        <f aca="false">COUNTIF('Cuentas CRM y homologación'!$X$2:$X$22,"Sí*")</f>
        <v>6</v>
      </c>
      <c r="C7" s="7"/>
      <c r="D7" s="5" t="s">
        <v>9</v>
      </c>
    </row>
    <row r="8" customFormat="false" ht="26.85" hidden="false" customHeight="false" outlineLevel="0" collapsed="false">
      <c r="A8" s="5" t="s">
        <v>10</v>
      </c>
      <c r="B8" s="6" t="n">
        <f aca="false">COUNTIF('Cuentas CRM y homologación'!$X$2:$X$22,"Por confirmar*")</f>
        <v>6</v>
      </c>
      <c r="C8" s="7"/>
      <c r="D8" s="5" t="s">
        <v>11</v>
      </c>
    </row>
    <row r="9" customFormat="false" ht="15" hidden="false" customHeight="false" outlineLevel="0" collapsed="false">
      <c r="A9" s="5" t="s">
        <v>12</v>
      </c>
      <c r="B9" s="6" t="n">
        <f aca="false">COUNTIF('Cuentas CRM y homologación'!$W$2:$W$22,"Sin sitio*")</f>
        <v>9</v>
      </c>
      <c r="C9" s="7"/>
      <c r="D9" s="5" t="s">
        <v>13</v>
      </c>
    </row>
    <row r="10" customFormat="false" ht="26.85" hidden="false" customHeight="false" outlineLevel="0" collapsed="false">
      <c r="A10" s="5" t="s">
        <v>14</v>
      </c>
      <c r="B10" s="6" t="n">
        <f aca="false">COUNTA('Plantas vs CRM'!$A$2:$A$43)</f>
        <v>42</v>
      </c>
      <c r="C10" s="7"/>
      <c r="D10" s="5" t="s">
        <v>15</v>
      </c>
    </row>
    <row r="11" customFormat="false" ht="15" hidden="false" customHeight="false" outlineLevel="0" collapsed="false">
      <c r="A11" s="5" t="s">
        <v>16</v>
      </c>
      <c r="B11" s="6" t="n">
        <f aca="false">COUNTIF('Plantas vs CRM'!$K$2:$K$43,"Sí*")</f>
        <v>5</v>
      </c>
      <c r="C11" s="7"/>
      <c r="D11" s="5" t="s">
        <v>17</v>
      </c>
    </row>
    <row r="12" customFormat="false" ht="15" hidden="false" customHeight="false" outlineLevel="0" collapsed="false">
      <c r="A12" s="5" t="s">
        <v>18</v>
      </c>
      <c r="B12" s="6" t="n">
        <f aca="false">COUNTIF('Plantas vs CRM'!$K$2:$K$43,"Por confirmar*")</f>
        <v>6</v>
      </c>
      <c r="C12" s="7"/>
      <c r="D12" s="5" t="s">
        <v>19</v>
      </c>
    </row>
    <row r="13" customFormat="false" ht="26.85" hidden="false" customHeight="false" outlineLevel="0" collapsed="false">
      <c r="A13" s="5" t="s">
        <v>20</v>
      </c>
      <c r="B13" s="6" t="n">
        <f aca="false">COUNTIF('Plantas vs CRM'!$K$2:$K$43,"Mismo*")</f>
        <v>7</v>
      </c>
      <c r="C13" s="7"/>
      <c r="D13" s="5" t="s">
        <v>21</v>
      </c>
    </row>
    <row r="14" customFormat="false" ht="15" hidden="false" customHeight="false" outlineLevel="0" collapsed="false">
      <c r="A14" s="5" t="s">
        <v>22</v>
      </c>
      <c r="B14" s="6" t="n">
        <f aca="false">COUNTIF('Plantas vs CRM'!$K$2:$K$43,"No")</f>
        <v>22</v>
      </c>
      <c r="C14" s="7"/>
      <c r="D14" s="5" t="s">
        <v>23</v>
      </c>
    </row>
    <row r="15" customFormat="false" ht="15" hidden="false" customHeight="false" outlineLevel="0" collapsed="false">
      <c r="A15" s="5" t="s">
        <v>24</v>
      </c>
      <c r="B15" s="6" t="n">
        <f aca="false">COUNTIFS('Plantas vs CRM'!$K$2:$K$43,"No",'Plantas vs CRM'!$J$2:$J$43,"Confirmado")</f>
        <v>9</v>
      </c>
      <c r="C15" s="7"/>
      <c r="D15" s="5" t="s">
        <v>25</v>
      </c>
    </row>
    <row r="16" customFormat="false" ht="15" hidden="false" customHeight="false" outlineLevel="0" collapsed="false">
      <c r="A16" s="5" t="s">
        <v>26</v>
      </c>
      <c r="B16" s="6" t="n">
        <f aca="false">COUNTIF('Plantas vs CRM'!$K$2:$K$43,"No aplica*")</f>
        <v>2</v>
      </c>
      <c r="C16" s="7"/>
      <c r="D16" s="5"/>
    </row>
    <row r="18" customFormat="false" ht="15" hidden="false" customHeight="false" outlineLevel="0" collapsed="false">
      <c r="A18" s="3" t="s">
        <v>27</v>
      </c>
    </row>
    <row r="19" customFormat="false" ht="33.75" hidden="false" customHeight="true" outlineLevel="0" collapsed="false">
      <c r="A19" s="4" t="s">
        <v>3</v>
      </c>
      <c r="B19" s="4" t="s">
        <v>28</v>
      </c>
      <c r="C19" s="4" t="s">
        <v>29</v>
      </c>
      <c r="D19" s="4" t="s">
        <v>5</v>
      </c>
    </row>
    <row r="20" customFormat="false" ht="15" hidden="false" customHeight="false" outlineLevel="0" collapsed="false">
      <c r="A20" s="5" t="s">
        <v>30</v>
      </c>
      <c r="B20" s="6" t="n">
        <f aca="false">COUNTIFS(Oportunidades!$D$2:$D$71,"Sí",Oportunidades!$Z$2:$Z$71,"Elegible")</f>
        <v>46</v>
      </c>
      <c r="C20" s="6" t="n">
        <f aca="false">COUNTIFS(Oportunidades!$D$2:$D$71,"Sí")</f>
        <v>68</v>
      </c>
      <c r="D20" s="5" t="s">
        <v>31</v>
      </c>
    </row>
    <row r="21" customFormat="false" ht="15" hidden="false" customHeight="false" outlineLevel="0" collapsed="false">
      <c r="A21" s="5" t="s">
        <v>32</v>
      </c>
      <c r="B21" s="6" t="n">
        <f aca="false">COUNTIFS(Oportunidades!$D$2:$D$71,"Sí",Oportunidades!$Z$2:$Z$71,"Elegible",Oportunidades!$H$2:$H$71,"Ganada")</f>
        <v>31</v>
      </c>
      <c r="C21" s="6" t="n">
        <f aca="false">COUNTIFS(Oportunidades!$D$2:$D$71,"Sí",Oportunidades!$H$2:$H$71,"Ganada")</f>
        <v>44</v>
      </c>
      <c r="D21" s="5"/>
    </row>
    <row r="22" customFormat="false" ht="15" hidden="false" customHeight="false" outlineLevel="0" collapsed="false">
      <c r="A22" s="5" t="s">
        <v>33</v>
      </c>
      <c r="B22" s="6" t="n">
        <f aca="false">COUNTIFS(Oportunidades!$D$2:$D$71,"Sí",Oportunidades!$Z$2:$Z$71,"Elegible",Oportunidades!$H$2:$H$71,"Perdida")</f>
        <v>14</v>
      </c>
      <c r="C22" s="6" t="n">
        <f aca="false">COUNTIFS(Oportunidades!$D$2:$D$71,"Sí",Oportunidades!$H$2:$H$71,"Perdida")</f>
        <v>19</v>
      </c>
      <c r="D22" s="5"/>
    </row>
    <row r="23" customFormat="false" ht="15" hidden="false" customHeight="false" outlineLevel="0" collapsed="false">
      <c r="A23" s="5" t="s">
        <v>34</v>
      </c>
      <c r="B23" s="6" t="n">
        <f aca="false">COUNTIFS(Oportunidades!$D$2:$D$71,"Sí",Oportunidades!$Z$2:$Z$71,"Elegible",Oportunidades!$H$2:$H$71,"Abierta")</f>
        <v>1</v>
      </c>
      <c r="C23" s="6" t="n">
        <f aca="false">COUNTIFS(Oportunidades!$D$2:$D$71,"Sí",Oportunidades!$H$2:$H$71,"Abierta")</f>
        <v>5</v>
      </c>
      <c r="D23" s="5" t="s">
        <v>35</v>
      </c>
    </row>
    <row r="24" customFormat="false" ht="15" hidden="false" customHeight="false" outlineLevel="0" collapsed="false">
      <c r="A24" s="5" t="s">
        <v>36</v>
      </c>
      <c r="B24" s="8" t="n">
        <f aca="false">B21/(B21+B22)</f>
        <v>0.688888888888889</v>
      </c>
      <c r="C24" s="8" t="n">
        <f aca="false">C21/(C21+C22)</f>
        <v>0.698412698412698</v>
      </c>
      <c r="D24" s="5" t="s">
        <v>37</v>
      </c>
    </row>
    <row r="25" customFormat="false" ht="15" hidden="false" customHeight="false" outlineLevel="0" collapsed="false">
      <c r="A25" s="5" t="s">
        <v>38</v>
      </c>
      <c r="B25" s="9" t="n">
        <f aca="false">SUMIFS(Oportunidades!$K$2:$K$71,Oportunidades!$D$2:$D$71,"Sí",Oportunidades!$Z$2:$Z$71,"Elegible",Oportunidades!$H$2:$H$71,"Ganada")</f>
        <v>10591085.5</v>
      </c>
      <c r="C25" s="9" t="n">
        <f aca="false">SUMIFS(Oportunidades!$K$2:$K$71,Oportunidades!$D$2:$D$71,"Sí",Oportunidades!$H$2:$H$71,"Ganada")</f>
        <v>18956616</v>
      </c>
      <c r="D25" s="5" t="s">
        <v>39</v>
      </c>
    </row>
    <row r="26" customFormat="false" ht="15" hidden="false" customHeight="false" outlineLevel="0" collapsed="false">
      <c r="A26" s="5" t="s">
        <v>40</v>
      </c>
      <c r="B26" s="9" t="n">
        <f aca="false">SUMIFS(Oportunidades!$K$2:$K$71,Oportunidades!$D$2:$D$71,"Sí",Oportunidades!$Z$2:$Z$71,"Elegible",Oportunidades!$H$2:$H$71,"Ganada",Oportunidades!$L$2:$L$71,"No")</f>
        <v>9318210.49</v>
      </c>
      <c r="C26" s="9" t="n">
        <f aca="false">SUMIFS(Oportunidades!$K$2:$K$71,Oportunidades!$D$2:$D$71,"Sí",Oportunidades!$H$2:$H$71,"Ganada",Oportunidades!$L$2:$L$71,"No")</f>
        <v>17245842.63</v>
      </c>
      <c r="D26" s="5" t="s">
        <v>41</v>
      </c>
    </row>
    <row r="27" customFormat="false" ht="15" hidden="false" customHeight="false" outlineLevel="0" collapsed="false">
      <c r="A27" s="5" t="s">
        <v>42</v>
      </c>
      <c r="B27" s="10" t="n">
        <f aca="false">_xlfn.MAXIFS(Oportunidades!$I$2:$I$71,Oportunidades!$D$2:$D$71,"Sí",Oportunidades!$Z$2:$Z$71,"Elegible",Oportunidades!$H$2:$H$71,"Ganada")</f>
        <v>46216</v>
      </c>
      <c r="C27" s="10" t="n">
        <f aca="false">_xlfn.MAXIFS(Oportunidades!$I$2:$I$71,Oportunidades!$D$2:$D$71,"Sí",Oportunidades!$H$2:$H$71,"Ganada")</f>
        <v>46227</v>
      </c>
      <c r="D27" s="5" t="s">
        <v>43</v>
      </c>
    </row>
    <row r="29" customFormat="false" ht="15" hidden="false" customHeight="false" outlineLevel="0" collapsed="false">
      <c r="A29" s="3" t="s">
        <v>44</v>
      </c>
    </row>
    <row r="30" customFormat="false" ht="21.75" hidden="false" customHeight="true" outlineLevel="0" collapsed="false">
      <c r="A30" s="4" t="s">
        <v>3</v>
      </c>
      <c r="B30" s="4" t="s">
        <v>4</v>
      </c>
      <c r="C30" s="4"/>
      <c r="D30" s="4" t="s">
        <v>45</v>
      </c>
    </row>
    <row r="31" customFormat="false" ht="48" hidden="false" customHeight="true" outlineLevel="0" collapsed="false">
      <c r="A31" s="5" t="s">
        <v>46</v>
      </c>
      <c r="B31" s="11" t="s">
        <v>47</v>
      </c>
      <c r="C31" s="11"/>
      <c r="D31" s="5" t="s">
        <v>48</v>
      </c>
    </row>
    <row r="32" customFormat="false" ht="48" hidden="false" customHeight="true" outlineLevel="0" collapsed="false">
      <c r="A32" s="5" t="s">
        <v>49</v>
      </c>
      <c r="B32" s="11" t="s">
        <v>50</v>
      </c>
      <c r="C32" s="11"/>
      <c r="D32" s="5" t="s">
        <v>51</v>
      </c>
    </row>
    <row r="33" customFormat="false" ht="48" hidden="false" customHeight="true" outlineLevel="0" collapsed="false">
      <c r="A33" s="5" t="s">
        <v>52</v>
      </c>
      <c r="B33" s="11" t="s">
        <v>53</v>
      </c>
      <c r="C33" s="11"/>
      <c r="D33" s="5" t="s">
        <v>54</v>
      </c>
    </row>
    <row r="34" customFormat="false" ht="48" hidden="false" customHeight="true" outlineLevel="0" collapsed="false">
      <c r="A34" s="5" t="s">
        <v>55</v>
      </c>
      <c r="B34" s="11" t="s">
        <v>56</v>
      </c>
      <c r="C34" s="11"/>
      <c r="D34" s="5" t="s">
        <v>57</v>
      </c>
    </row>
    <row r="35" customFormat="false" ht="48" hidden="false" customHeight="true" outlineLevel="0" collapsed="false">
      <c r="A35" s="5" t="s">
        <v>58</v>
      </c>
      <c r="B35" s="11" t="s">
        <v>59</v>
      </c>
      <c r="C35" s="11"/>
      <c r="D35" s="5" t="s">
        <v>60</v>
      </c>
    </row>
    <row r="37" customFormat="false" ht="15" hidden="false" customHeight="false" outlineLevel="0" collapsed="false">
      <c r="A37" s="3" t="s">
        <v>61</v>
      </c>
    </row>
    <row r="38" customFormat="false" ht="69.75" hidden="false" customHeight="true" outlineLevel="0" collapsed="false">
      <c r="A38" s="12" t="s">
        <v>62</v>
      </c>
      <c r="B38" s="12"/>
      <c r="C38" s="12"/>
      <c r="D38" s="12"/>
    </row>
    <row r="39" customFormat="false" ht="42" hidden="false" customHeight="true" outlineLevel="0" collapsed="false">
      <c r="A39" s="12" t="s">
        <v>63</v>
      </c>
      <c r="B39" s="12"/>
      <c r="C39" s="12"/>
      <c r="D39" s="12"/>
    </row>
    <row r="40" customFormat="false" ht="30" hidden="false" customHeight="true" outlineLevel="0" collapsed="false">
      <c r="A40" s="12" t="s">
        <v>64</v>
      </c>
      <c r="B40" s="12"/>
      <c r="C40" s="12"/>
      <c r="D40" s="12"/>
    </row>
    <row r="41" customFormat="false" ht="30" hidden="false" customHeight="true" outlineLevel="0" collapsed="false">
      <c r="A41" s="12" t="s">
        <v>65</v>
      </c>
      <c r="B41" s="12"/>
      <c r="C41" s="12"/>
      <c r="D41" s="12"/>
    </row>
    <row r="42" customFormat="false" ht="42" hidden="false" customHeight="true" outlineLevel="0" collapsed="false">
      <c r="A42" s="12" t="s">
        <v>66</v>
      </c>
      <c r="B42" s="12"/>
      <c r="C42" s="12"/>
      <c r="D42" s="12"/>
    </row>
    <row r="43" customFormat="false" ht="30" hidden="false" customHeight="true" outlineLevel="0" collapsed="false">
      <c r="A43" s="12" t="s">
        <v>67</v>
      </c>
      <c r="B43" s="12"/>
      <c r="C43" s="12"/>
      <c r="D43" s="12"/>
    </row>
    <row r="44" customFormat="false" ht="30" hidden="false" customHeight="true" outlineLevel="0" collapsed="false">
      <c r="A44" s="12" t="s">
        <v>68</v>
      </c>
      <c r="B44" s="12"/>
      <c r="C44" s="12"/>
      <c r="D44" s="12"/>
    </row>
    <row r="45" customFormat="false" ht="55.5" hidden="false" customHeight="true" outlineLevel="0" collapsed="false">
      <c r="A45" s="12" t="s">
        <v>69</v>
      </c>
      <c r="B45" s="12"/>
      <c r="C45" s="12"/>
      <c r="D45" s="12"/>
    </row>
    <row r="46" customFormat="false" ht="42" hidden="false" customHeight="true" outlineLevel="0" collapsed="false">
      <c r="A46" s="12" t="s">
        <v>70</v>
      </c>
      <c r="B46" s="12"/>
      <c r="C46" s="12"/>
      <c r="D46" s="12"/>
    </row>
    <row r="47" customFormat="false" ht="30" hidden="false" customHeight="true" outlineLevel="0" collapsed="false">
      <c r="A47" s="12" t="s">
        <v>71</v>
      </c>
      <c r="B47" s="12"/>
      <c r="C47" s="12"/>
      <c r="D47" s="12"/>
    </row>
    <row r="48" customFormat="false" ht="55.5" hidden="false" customHeight="true" outlineLevel="0" collapsed="false">
      <c r="A48" s="12" t="s">
        <v>72</v>
      </c>
      <c r="B48" s="12"/>
      <c r="C48" s="12"/>
      <c r="D48" s="12"/>
    </row>
    <row r="49" customFormat="false" ht="42" hidden="false" customHeight="true" outlineLevel="0" collapsed="false">
      <c r="A49" s="12" t="s">
        <v>73</v>
      </c>
      <c r="B49" s="12"/>
      <c r="C49" s="12"/>
      <c r="D49" s="12"/>
    </row>
    <row r="50" customFormat="false" ht="84" hidden="false" customHeight="true" outlineLevel="0" collapsed="false">
      <c r="A50" s="12" t="s">
        <v>74</v>
      </c>
      <c r="B50" s="12"/>
      <c r="C50" s="12"/>
      <c r="D50" s="12"/>
    </row>
    <row r="52" customFormat="false" ht="15" hidden="false" customHeight="false" outlineLevel="0" collapsed="false">
      <c r="A52" s="3" t="s">
        <v>75</v>
      </c>
    </row>
    <row r="53" customFormat="false" ht="15" hidden="false" customHeight="true" outlineLevel="0" collapsed="false">
      <c r="A53" s="13" t="s">
        <v>76</v>
      </c>
      <c r="B53" s="12" t="s">
        <v>77</v>
      </c>
      <c r="C53" s="12"/>
      <c r="D53" s="12"/>
    </row>
    <row r="54" customFormat="false" ht="15" hidden="false" customHeight="true" outlineLevel="0" collapsed="false">
      <c r="A54" s="13" t="s">
        <v>78</v>
      </c>
      <c r="B54" s="12" t="s">
        <v>79</v>
      </c>
      <c r="C54" s="12"/>
      <c r="D54" s="12"/>
    </row>
    <row r="55" customFormat="false" ht="15" hidden="false" customHeight="true" outlineLevel="0" collapsed="false">
      <c r="A55" s="13" t="s">
        <v>80</v>
      </c>
      <c r="B55" s="12" t="s">
        <v>81</v>
      </c>
      <c r="C55" s="12"/>
      <c r="D55" s="12"/>
    </row>
    <row r="56" customFormat="false" ht="15" hidden="false" customHeight="true" outlineLevel="0" collapsed="false">
      <c r="A56" s="13" t="s">
        <v>82</v>
      </c>
      <c r="B56" s="12" t="s">
        <v>83</v>
      </c>
      <c r="C56" s="12"/>
      <c r="D56" s="12"/>
    </row>
    <row r="57" customFormat="false" ht="15" hidden="false" customHeight="true" outlineLevel="0" collapsed="false">
      <c r="A57" s="13" t="s">
        <v>84</v>
      </c>
      <c r="B57" s="12" t="s">
        <v>85</v>
      </c>
      <c r="C57" s="12"/>
      <c r="D57" s="12"/>
    </row>
    <row r="58" customFormat="false" ht="15" hidden="false" customHeight="true" outlineLevel="0" collapsed="false">
      <c r="A58" s="13" t="s">
        <v>86</v>
      </c>
      <c r="B58" s="12" t="s">
        <v>87</v>
      </c>
      <c r="C58" s="12"/>
      <c r="D58" s="12"/>
    </row>
    <row r="59" customFormat="false" ht="15" hidden="false" customHeight="true" outlineLevel="0" collapsed="false">
      <c r="A59" s="13" t="s">
        <v>88</v>
      </c>
      <c r="B59" s="12" t="s">
        <v>89</v>
      </c>
      <c r="C59" s="12"/>
      <c r="D59" s="12"/>
    </row>
    <row r="60" customFormat="false" ht="15" hidden="false" customHeight="true" outlineLevel="0" collapsed="false">
      <c r="A60" s="13" t="s">
        <v>90</v>
      </c>
      <c r="B60" s="12" t="s">
        <v>91</v>
      </c>
      <c r="C60" s="12"/>
      <c r="D60" s="12"/>
    </row>
    <row r="61" customFormat="false" ht="15" hidden="false" customHeight="true" outlineLevel="0" collapsed="false">
      <c r="A61" s="13" t="s">
        <v>92</v>
      </c>
      <c r="B61" s="12" t="s">
        <v>93</v>
      </c>
      <c r="C61" s="12"/>
      <c r="D61" s="12"/>
    </row>
    <row r="62" customFormat="false" ht="15" hidden="false" customHeight="true" outlineLevel="0" collapsed="false">
      <c r="A62" s="13" t="s">
        <v>30</v>
      </c>
      <c r="B62" s="12" t="s">
        <v>94</v>
      </c>
      <c r="C62" s="12"/>
      <c r="D62" s="12"/>
    </row>
    <row r="64" customFormat="false" ht="15" hidden="false" customHeight="false" outlineLevel="0" collapsed="false">
      <c r="A64" s="3" t="s">
        <v>95</v>
      </c>
    </row>
    <row r="65" customFormat="false" ht="69.75" hidden="false" customHeight="true" outlineLevel="0" collapsed="false">
      <c r="A65" s="12" t="s">
        <v>96</v>
      </c>
      <c r="B65" s="12"/>
      <c r="C65" s="12"/>
      <c r="D65" s="12"/>
    </row>
    <row r="66" customFormat="false" ht="42" hidden="false" customHeight="true" outlineLevel="0" collapsed="false">
      <c r="A66" s="12" t="s">
        <v>97</v>
      </c>
      <c r="B66" s="12"/>
      <c r="C66" s="12"/>
      <c r="D66" s="12"/>
    </row>
    <row r="67" customFormat="false" ht="42" hidden="false" customHeight="true" outlineLevel="0" collapsed="false">
      <c r="A67" s="12" t="s">
        <v>98</v>
      </c>
      <c r="B67" s="12"/>
      <c r="C67" s="12"/>
      <c r="D67" s="12"/>
    </row>
    <row r="68" customFormat="false" ht="55.5" hidden="false" customHeight="true" outlineLevel="0" collapsed="false">
      <c r="A68" s="12" t="s">
        <v>99</v>
      </c>
      <c r="B68" s="12"/>
      <c r="C68" s="12"/>
      <c r="D68" s="12"/>
    </row>
    <row r="69" customFormat="false" ht="42" hidden="false" customHeight="true" outlineLevel="0" collapsed="false">
      <c r="A69" s="12" t="s">
        <v>100</v>
      </c>
      <c r="B69" s="12"/>
      <c r="C69" s="12"/>
      <c r="D69" s="12"/>
    </row>
    <row r="70" customFormat="false" ht="27.75" hidden="false" customHeight="true" outlineLevel="0" collapsed="false">
      <c r="A70" s="12" t="s">
        <v>101</v>
      </c>
      <c r="B70" s="12"/>
      <c r="C70" s="12"/>
      <c r="D70" s="12"/>
    </row>
    <row r="71" customFormat="false" ht="42" hidden="false" customHeight="true" outlineLevel="0" collapsed="false">
      <c r="A71" s="12" t="s">
        <v>102</v>
      </c>
      <c r="B71" s="12"/>
      <c r="C71" s="12"/>
      <c r="D71" s="12"/>
    </row>
  </sheetData>
  <mergeCells count="36">
    <mergeCell ref="A2:D2"/>
    <mergeCell ref="B31:C31"/>
    <mergeCell ref="B32:C32"/>
    <mergeCell ref="B33:C33"/>
    <mergeCell ref="B34:C34"/>
    <mergeCell ref="B35:C35"/>
    <mergeCell ref="A38:D38"/>
    <mergeCell ref="A39:D39"/>
    <mergeCell ref="A40:D40"/>
    <mergeCell ref="A41:D41"/>
    <mergeCell ref="A42:D42"/>
    <mergeCell ref="A43:D43"/>
    <mergeCell ref="A44:D44"/>
    <mergeCell ref="A45:D45"/>
    <mergeCell ref="A46:D46"/>
    <mergeCell ref="A47:D47"/>
    <mergeCell ref="A48:D48"/>
    <mergeCell ref="A49:D49"/>
    <mergeCell ref="A50:D50"/>
    <mergeCell ref="B53:D53"/>
    <mergeCell ref="B54:D54"/>
    <mergeCell ref="B55:D55"/>
    <mergeCell ref="B56:D56"/>
    <mergeCell ref="B57:D57"/>
    <mergeCell ref="B58:D58"/>
    <mergeCell ref="B59:D59"/>
    <mergeCell ref="B60:D60"/>
    <mergeCell ref="B61:D61"/>
    <mergeCell ref="B62:D62"/>
    <mergeCell ref="A65:D65"/>
    <mergeCell ref="A66:D66"/>
    <mergeCell ref="A67:D67"/>
    <mergeCell ref="A68:D68"/>
    <mergeCell ref="A69:D69"/>
    <mergeCell ref="A70:D70"/>
    <mergeCell ref="A71:D7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T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40"/>
    <col collapsed="false" customWidth="true" hidden="false" outlineLevel="0" max="4" min="4" style="0" width="20"/>
    <col collapsed="false" customWidth="true" hidden="false" outlineLevel="0" max="5" min="5" style="0" width="16"/>
    <col collapsed="false" customWidth="true" hidden="false" outlineLevel="0" max="6" min="6" style="0" width="44"/>
    <col collapsed="false" customWidth="true" hidden="false" outlineLevel="0" max="7" min="7" style="0" width="18"/>
    <col collapsed="false" customWidth="true" hidden="false" outlineLevel="0" max="8" min="8" style="0" width="48"/>
    <col collapsed="false" customWidth="true" hidden="false" outlineLevel="0" max="10" min="9" style="0" width="14"/>
    <col collapsed="false" customWidth="true" hidden="false" outlineLevel="0" max="11" min="11" style="0" width="24"/>
    <col collapsed="false" customWidth="true" hidden="false" outlineLevel="0" max="12" min="12" style="0" width="50"/>
    <col collapsed="false" customWidth="true" hidden="false" outlineLevel="0" max="13" min="13" style="0" width="56"/>
    <col collapsed="false" customWidth="true" hidden="false" outlineLevel="0" max="16" min="14" style="0" width="9"/>
    <col collapsed="false" customWidth="true" hidden="false" outlineLevel="0" max="18" min="17" style="0" width="10"/>
    <col collapsed="false" customWidth="true" hidden="false" outlineLevel="0" max="19" min="19" style="0" width="60"/>
    <col collapsed="false" customWidth="true" hidden="false" outlineLevel="0" max="20" min="20" style="0" width="40"/>
  </cols>
  <sheetData>
    <row r="1" customFormat="false" ht="42" hidden="false" customHeight="true" outlineLevel="0" collapsed="false">
      <c r="A1" s="4" t="s">
        <v>103</v>
      </c>
      <c r="B1" s="4" t="s">
        <v>104</v>
      </c>
      <c r="C1" s="4" t="s">
        <v>105</v>
      </c>
      <c r="D1" s="4" t="s">
        <v>106</v>
      </c>
      <c r="E1" s="4" t="s">
        <v>107</v>
      </c>
      <c r="F1" s="4" t="s">
        <v>108</v>
      </c>
      <c r="G1" s="4" t="s">
        <v>109</v>
      </c>
      <c r="H1" s="4" t="s">
        <v>110</v>
      </c>
      <c r="I1" s="4" t="s">
        <v>111</v>
      </c>
      <c r="J1" s="4" t="s">
        <v>112</v>
      </c>
      <c r="K1" s="4" t="s">
        <v>113</v>
      </c>
      <c r="L1" s="4" t="s">
        <v>114</v>
      </c>
      <c r="M1" s="4" t="s">
        <v>115</v>
      </c>
      <c r="N1" s="4" t="s">
        <v>116</v>
      </c>
      <c r="O1" s="4" t="s">
        <v>117</v>
      </c>
      <c r="P1" s="4" t="s">
        <v>118</v>
      </c>
      <c r="Q1" s="4" t="s">
        <v>119</v>
      </c>
      <c r="R1" s="4" t="s">
        <v>120</v>
      </c>
      <c r="S1" s="4" t="s">
        <v>121</v>
      </c>
      <c r="T1" s="4" t="s">
        <v>122</v>
      </c>
    </row>
    <row r="2" customFormat="false" ht="55.2" hidden="false" customHeight="false" outlineLevel="0" collapsed="false">
      <c r="A2" s="5" t="s">
        <v>123</v>
      </c>
      <c r="B2" s="5" t="s">
        <v>124</v>
      </c>
      <c r="C2" s="5" t="s">
        <v>125</v>
      </c>
      <c r="D2" s="5" t="s">
        <v>126</v>
      </c>
      <c r="E2" s="5" t="s">
        <v>127</v>
      </c>
      <c r="F2" s="5" t="s">
        <v>128</v>
      </c>
      <c r="G2" s="5" t="s">
        <v>129</v>
      </c>
      <c r="H2" s="14" t="s">
        <v>130</v>
      </c>
      <c r="I2" s="14" t="s">
        <v>131</v>
      </c>
      <c r="J2" s="5" t="s">
        <v>132</v>
      </c>
      <c r="K2" s="5" t="s">
        <v>133</v>
      </c>
      <c r="L2" s="5" t="s">
        <v>134</v>
      </c>
      <c r="M2" s="5" t="s">
        <v>135</v>
      </c>
      <c r="N2" s="5" t="n">
        <f aca="false">SUMIFS('Cuentas CRM y homologación'!$P$2:$P$22,'Cuentas CRM y homologación'!$W$2:$W$22,$A2)</f>
        <v>1</v>
      </c>
      <c r="O2" s="5" t="n">
        <f aca="false">SUMIFS('Cuentas CRM y homologación'!$Q$2:$Q$22,'Cuentas CRM y homologación'!$W$2:$W$22,$A2)</f>
        <v>0</v>
      </c>
      <c r="P2" s="5" t="n">
        <f aca="false">SUMIFS('Cuentas CRM y homologación'!$R$2:$R$22,'Cuentas CRM y homologación'!$W$2:$W$22,$A2)</f>
        <v>0</v>
      </c>
      <c r="Q2" s="5" t="n">
        <f aca="false">SUMIFS('Cuentas CRM y homologación'!$S$2:$S$22,'Cuentas CRM y homologación'!$W$2:$W$22,$A2)</f>
        <v>1</v>
      </c>
      <c r="R2" s="5" t="n">
        <f aca="false">SUMIFS('Cuentas CRM y homologación'!$T$2:$T$22,'Cuentas CRM y homologación'!$W$2:$W$22,$A2)</f>
        <v>0</v>
      </c>
      <c r="S2" s="5" t="s">
        <v>136</v>
      </c>
      <c r="T2" s="5" t="s">
        <v>137</v>
      </c>
    </row>
    <row r="3" customFormat="false" ht="102.95" hidden="false" customHeight="false" outlineLevel="0" collapsed="false">
      <c r="A3" s="5" t="s">
        <v>138</v>
      </c>
      <c r="B3" s="5" t="s">
        <v>139</v>
      </c>
      <c r="C3" s="5" t="s">
        <v>140</v>
      </c>
      <c r="D3" s="5" t="s">
        <v>141</v>
      </c>
      <c r="E3" s="5" t="s">
        <v>142</v>
      </c>
      <c r="F3" s="5" t="s">
        <v>143</v>
      </c>
      <c r="G3" s="5" t="s">
        <v>129</v>
      </c>
      <c r="H3" s="14" t="s">
        <v>144</v>
      </c>
      <c r="I3" s="14" t="s">
        <v>145</v>
      </c>
      <c r="J3" s="5" t="s">
        <v>132</v>
      </c>
      <c r="K3" s="5" t="s">
        <v>146</v>
      </c>
      <c r="L3" s="5" t="s">
        <v>137</v>
      </c>
      <c r="M3" s="5" t="s">
        <v>147</v>
      </c>
      <c r="N3" s="5" t="n">
        <f aca="false">SUMIFS('Cuentas CRM y homologación'!$P$2:$P$22,'Cuentas CRM y homologación'!$W$2:$W$22,$A3)</f>
        <v>0</v>
      </c>
      <c r="O3" s="5" t="n">
        <f aca="false">SUMIFS('Cuentas CRM y homologación'!$Q$2:$Q$22,'Cuentas CRM y homologación'!$W$2:$W$22,$A3)</f>
        <v>0</v>
      </c>
      <c r="P3" s="5" t="n">
        <f aca="false">SUMIFS('Cuentas CRM y homologación'!$R$2:$R$22,'Cuentas CRM y homologación'!$W$2:$W$22,$A3)</f>
        <v>0</v>
      </c>
      <c r="Q3" s="5" t="n">
        <f aca="false">SUMIFS('Cuentas CRM y homologación'!$S$2:$S$22,'Cuentas CRM y homologación'!$W$2:$W$22,$A3)</f>
        <v>0</v>
      </c>
      <c r="R3" s="5" t="n">
        <f aca="false">SUMIFS('Cuentas CRM y homologación'!$T$2:$T$22,'Cuentas CRM y homologación'!$W$2:$W$22,$A3)</f>
        <v>0</v>
      </c>
      <c r="S3" s="5" t="s">
        <v>148</v>
      </c>
      <c r="T3" s="5" t="s">
        <v>137</v>
      </c>
    </row>
    <row r="4" customFormat="false" ht="90.25" hidden="false" customHeight="false" outlineLevel="0" collapsed="false">
      <c r="A4" s="5" t="s">
        <v>149</v>
      </c>
      <c r="B4" s="5" t="s">
        <v>150</v>
      </c>
      <c r="C4" s="5" t="s">
        <v>151</v>
      </c>
      <c r="D4" s="5" t="s">
        <v>126</v>
      </c>
      <c r="E4" s="5" t="s">
        <v>127</v>
      </c>
      <c r="F4" s="5" t="s">
        <v>152</v>
      </c>
      <c r="G4" s="5" t="s">
        <v>129</v>
      </c>
      <c r="H4" s="14" t="s">
        <v>153</v>
      </c>
      <c r="I4" s="14" t="s">
        <v>154</v>
      </c>
      <c r="J4" s="5" t="s">
        <v>132</v>
      </c>
      <c r="K4" s="5" t="s">
        <v>155</v>
      </c>
      <c r="L4" s="5" t="s">
        <v>156</v>
      </c>
      <c r="M4" s="5" t="s">
        <v>157</v>
      </c>
      <c r="N4" s="5" t="n">
        <f aca="false">SUMIFS('Cuentas CRM y homologación'!$P$2:$P$22,'Cuentas CRM y homologación'!$W$2:$W$22,$A4)</f>
        <v>11</v>
      </c>
      <c r="O4" s="5" t="n">
        <f aca="false">SUMIFS('Cuentas CRM y homologación'!$Q$2:$Q$22,'Cuentas CRM y homologación'!$W$2:$W$22,$A4)</f>
        <v>3</v>
      </c>
      <c r="P4" s="5" t="n">
        <f aca="false">SUMIFS('Cuentas CRM y homologación'!$R$2:$R$22,'Cuentas CRM y homologación'!$W$2:$W$22,$A4)</f>
        <v>0</v>
      </c>
      <c r="Q4" s="5" t="n">
        <f aca="false">SUMIFS('Cuentas CRM y homologación'!$S$2:$S$22,'Cuentas CRM y homologación'!$W$2:$W$22,$A4)</f>
        <v>10</v>
      </c>
      <c r="R4" s="5" t="n">
        <f aca="false">SUMIFS('Cuentas CRM y homologación'!$T$2:$T$22,'Cuentas CRM y homologación'!$W$2:$W$22,$A4)</f>
        <v>3</v>
      </c>
      <c r="S4" s="5" t="s">
        <v>158</v>
      </c>
      <c r="T4" s="5" t="s">
        <v>137</v>
      </c>
    </row>
    <row r="5" customFormat="false" ht="90.25" hidden="false" customHeight="false" outlineLevel="0" collapsed="false">
      <c r="A5" s="5" t="s">
        <v>159</v>
      </c>
      <c r="B5" s="5" t="s">
        <v>150</v>
      </c>
      <c r="C5" s="5" t="s">
        <v>160</v>
      </c>
      <c r="D5" s="5" t="s">
        <v>161</v>
      </c>
      <c r="E5" s="5" t="s">
        <v>162</v>
      </c>
      <c r="F5" s="5" t="s">
        <v>163</v>
      </c>
      <c r="G5" s="5" t="s">
        <v>129</v>
      </c>
      <c r="H5" s="14" t="s">
        <v>164</v>
      </c>
      <c r="I5" s="14" t="s">
        <v>165</v>
      </c>
      <c r="J5" s="5" t="s">
        <v>132</v>
      </c>
      <c r="K5" s="5" t="s">
        <v>166</v>
      </c>
      <c r="L5" s="5" t="s">
        <v>137</v>
      </c>
      <c r="M5" s="5" t="s">
        <v>167</v>
      </c>
      <c r="N5" s="5" t="n">
        <f aca="false">SUMIFS('Cuentas CRM y homologación'!$P$2:$P$22,'Cuentas CRM y homologación'!$W$2:$W$22,$A5)</f>
        <v>0</v>
      </c>
      <c r="O5" s="5" t="n">
        <f aca="false">SUMIFS('Cuentas CRM y homologación'!$Q$2:$Q$22,'Cuentas CRM y homologación'!$W$2:$W$22,$A5)</f>
        <v>0</v>
      </c>
      <c r="P5" s="5" t="n">
        <f aca="false">SUMIFS('Cuentas CRM y homologación'!$R$2:$R$22,'Cuentas CRM y homologación'!$W$2:$W$22,$A5)</f>
        <v>0</v>
      </c>
      <c r="Q5" s="5" t="n">
        <f aca="false">SUMIFS('Cuentas CRM y homologación'!$S$2:$S$22,'Cuentas CRM y homologación'!$W$2:$W$22,$A5)</f>
        <v>0</v>
      </c>
      <c r="R5" s="5" t="n">
        <f aca="false">SUMIFS('Cuentas CRM y homologación'!$T$2:$T$22,'Cuentas CRM y homologación'!$W$2:$W$22,$A5)</f>
        <v>0</v>
      </c>
      <c r="S5" s="5" t="s">
        <v>168</v>
      </c>
      <c r="T5" s="5" t="s">
        <v>169</v>
      </c>
    </row>
    <row r="6" customFormat="false" ht="82.05" hidden="false" customHeight="false" outlineLevel="0" collapsed="false">
      <c r="A6" s="5" t="s">
        <v>170</v>
      </c>
      <c r="B6" s="5" t="s">
        <v>171</v>
      </c>
      <c r="C6" s="5" t="s">
        <v>172</v>
      </c>
      <c r="D6" s="5" t="s">
        <v>173</v>
      </c>
      <c r="E6" s="5" t="s">
        <v>162</v>
      </c>
      <c r="F6" s="5" t="s">
        <v>174</v>
      </c>
      <c r="G6" s="5" t="s">
        <v>129</v>
      </c>
      <c r="H6" s="14" t="s">
        <v>175</v>
      </c>
      <c r="I6" s="14" t="s">
        <v>176</v>
      </c>
      <c r="J6" s="5" t="s">
        <v>177</v>
      </c>
      <c r="K6" s="5" t="s">
        <v>166</v>
      </c>
      <c r="L6" s="5" t="s">
        <v>137</v>
      </c>
      <c r="M6" s="5" t="s">
        <v>178</v>
      </c>
      <c r="N6" s="5" t="n">
        <f aca="false">SUMIFS('Cuentas CRM y homologación'!$P$2:$P$22,'Cuentas CRM y homologación'!$W$2:$W$22,$A6)</f>
        <v>0</v>
      </c>
      <c r="O6" s="5" t="n">
        <f aca="false">SUMIFS('Cuentas CRM y homologación'!$Q$2:$Q$22,'Cuentas CRM y homologación'!$W$2:$W$22,$A6)</f>
        <v>0</v>
      </c>
      <c r="P6" s="5" t="n">
        <f aca="false">SUMIFS('Cuentas CRM y homologación'!$R$2:$R$22,'Cuentas CRM y homologación'!$W$2:$W$22,$A6)</f>
        <v>0</v>
      </c>
      <c r="Q6" s="5" t="n">
        <f aca="false">SUMIFS('Cuentas CRM y homologación'!$S$2:$S$22,'Cuentas CRM y homologación'!$W$2:$W$22,$A6)</f>
        <v>0</v>
      </c>
      <c r="R6" s="5" t="n">
        <f aca="false">SUMIFS('Cuentas CRM y homologación'!$T$2:$T$22,'Cuentas CRM y homologación'!$W$2:$W$22,$A6)</f>
        <v>0</v>
      </c>
      <c r="S6" s="5" t="s">
        <v>179</v>
      </c>
      <c r="T6" s="5" t="s">
        <v>180</v>
      </c>
    </row>
    <row r="7" customFormat="false" ht="55.2" hidden="false" customHeight="false" outlineLevel="0" collapsed="false">
      <c r="A7" s="5" t="s">
        <v>181</v>
      </c>
      <c r="B7" s="5" t="s">
        <v>150</v>
      </c>
      <c r="C7" s="5" t="s">
        <v>182</v>
      </c>
      <c r="D7" s="5" t="s">
        <v>183</v>
      </c>
      <c r="E7" s="5" t="s">
        <v>184</v>
      </c>
      <c r="F7" s="5" t="s">
        <v>185</v>
      </c>
      <c r="G7" s="5" t="s">
        <v>129</v>
      </c>
      <c r="H7" s="14" t="s">
        <v>164</v>
      </c>
      <c r="I7" s="14" t="s">
        <v>165</v>
      </c>
      <c r="J7" s="5" t="s">
        <v>132</v>
      </c>
      <c r="K7" s="5" t="s">
        <v>133</v>
      </c>
      <c r="L7" s="5" t="s">
        <v>186</v>
      </c>
      <c r="M7" s="5" t="s">
        <v>187</v>
      </c>
      <c r="N7" s="5" t="n">
        <f aca="false">SUMIFS('Cuentas CRM y homologación'!$P$2:$P$22,'Cuentas CRM y homologación'!$W$2:$W$22,$A7)</f>
        <v>1</v>
      </c>
      <c r="O7" s="5" t="n">
        <f aca="false">SUMIFS('Cuentas CRM y homologación'!$Q$2:$Q$22,'Cuentas CRM y homologación'!$W$2:$W$22,$A7)</f>
        <v>0</v>
      </c>
      <c r="P7" s="5" t="n">
        <f aca="false">SUMIFS('Cuentas CRM y homologación'!$R$2:$R$22,'Cuentas CRM y homologación'!$W$2:$W$22,$A7)</f>
        <v>1</v>
      </c>
      <c r="Q7" s="5" t="n">
        <f aca="false">SUMIFS('Cuentas CRM y homologación'!$S$2:$S$22,'Cuentas CRM y homologación'!$W$2:$W$22,$A7)</f>
        <v>0</v>
      </c>
      <c r="R7" s="5" t="n">
        <f aca="false">SUMIFS('Cuentas CRM y homologación'!$T$2:$T$22,'Cuentas CRM y homologación'!$W$2:$W$22,$A7)</f>
        <v>0</v>
      </c>
      <c r="S7" s="5" t="s">
        <v>188</v>
      </c>
      <c r="T7" s="5" t="s">
        <v>137</v>
      </c>
    </row>
    <row r="8" customFormat="false" ht="64.9" hidden="false" customHeight="false" outlineLevel="0" collapsed="false">
      <c r="A8" s="5" t="s">
        <v>189</v>
      </c>
      <c r="B8" s="5" t="s">
        <v>150</v>
      </c>
      <c r="C8" s="5" t="s">
        <v>190</v>
      </c>
      <c r="D8" s="5" t="s">
        <v>191</v>
      </c>
      <c r="E8" s="5" t="s">
        <v>192</v>
      </c>
      <c r="F8" s="5" t="s">
        <v>193</v>
      </c>
      <c r="G8" s="5" t="s">
        <v>129</v>
      </c>
      <c r="H8" s="14" t="s">
        <v>164</v>
      </c>
      <c r="I8" s="14" t="s">
        <v>165</v>
      </c>
      <c r="J8" s="5" t="s">
        <v>132</v>
      </c>
      <c r="K8" s="5" t="s">
        <v>155</v>
      </c>
      <c r="L8" s="5" t="s">
        <v>194</v>
      </c>
      <c r="M8" s="5" t="s">
        <v>195</v>
      </c>
      <c r="N8" s="5" t="n">
        <f aca="false">SUMIFS('Cuentas CRM y homologación'!$P$2:$P$22,'Cuentas CRM y homologación'!$W$2:$W$22,$A8)</f>
        <v>10</v>
      </c>
      <c r="O8" s="5" t="n">
        <f aca="false">SUMIFS('Cuentas CRM y homologación'!$Q$2:$Q$22,'Cuentas CRM y homologación'!$W$2:$W$22,$A8)</f>
        <v>5</v>
      </c>
      <c r="P8" s="5" t="n">
        <f aca="false">SUMIFS('Cuentas CRM y homologación'!$R$2:$R$22,'Cuentas CRM y homologación'!$W$2:$W$22,$A8)</f>
        <v>0</v>
      </c>
      <c r="Q8" s="5" t="n">
        <f aca="false">SUMIFS('Cuentas CRM y homologación'!$S$2:$S$22,'Cuentas CRM y homologación'!$W$2:$W$22,$A8)</f>
        <v>10</v>
      </c>
      <c r="R8" s="5" t="n">
        <f aca="false">SUMIFS('Cuentas CRM y homologación'!$T$2:$T$22,'Cuentas CRM y homologación'!$W$2:$W$22,$A8)</f>
        <v>3</v>
      </c>
      <c r="S8" s="5" t="s">
        <v>196</v>
      </c>
      <c r="T8" s="5" t="s">
        <v>137</v>
      </c>
    </row>
    <row r="9" customFormat="false" ht="55.2" hidden="false" customHeight="false" outlineLevel="0" collapsed="false">
      <c r="A9" s="5" t="s">
        <v>197</v>
      </c>
      <c r="B9" s="5" t="s">
        <v>150</v>
      </c>
      <c r="C9" s="5" t="s">
        <v>198</v>
      </c>
      <c r="D9" s="5" t="s">
        <v>199</v>
      </c>
      <c r="E9" s="5" t="s">
        <v>200</v>
      </c>
      <c r="F9" s="5" t="s">
        <v>201</v>
      </c>
      <c r="G9" s="5" t="s">
        <v>129</v>
      </c>
      <c r="H9" s="14" t="s">
        <v>164</v>
      </c>
      <c r="I9" s="14" t="s">
        <v>165</v>
      </c>
      <c r="J9" s="5" t="s">
        <v>132</v>
      </c>
      <c r="K9" s="5" t="s">
        <v>133</v>
      </c>
      <c r="L9" s="5" t="s">
        <v>202</v>
      </c>
      <c r="M9" s="5" t="s">
        <v>203</v>
      </c>
      <c r="N9" s="5" t="n">
        <f aca="false">SUMIFS('Cuentas CRM y homologación'!$P$2:$P$22,'Cuentas CRM y homologación'!$W$2:$W$22,$A9)</f>
        <v>6</v>
      </c>
      <c r="O9" s="5" t="n">
        <f aca="false">SUMIFS('Cuentas CRM y homologación'!$Q$2:$Q$22,'Cuentas CRM y homologación'!$W$2:$W$22,$A9)</f>
        <v>2</v>
      </c>
      <c r="P9" s="5" t="n">
        <f aca="false">SUMIFS('Cuentas CRM y homologación'!$R$2:$R$22,'Cuentas CRM y homologación'!$W$2:$W$22,$A9)</f>
        <v>0</v>
      </c>
      <c r="Q9" s="5" t="n">
        <f aca="false">SUMIFS('Cuentas CRM y homologación'!$S$2:$S$22,'Cuentas CRM y homologación'!$W$2:$W$22,$A9)</f>
        <v>0</v>
      </c>
      <c r="R9" s="5" t="n">
        <f aca="false">SUMIFS('Cuentas CRM y homologación'!$T$2:$T$22,'Cuentas CRM y homologación'!$W$2:$W$22,$A9)</f>
        <v>0</v>
      </c>
      <c r="S9" s="5" t="s">
        <v>204</v>
      </c>
      <c r="T9" s="5" t="s">
        <v>137</v>
      </c>
    </row>
    <row r="10" customFormat="false" ht="64.15" hidden="false" customHeight="false" outlineLevel="0" collapsed="false">
      <c r="A10" s="5" t="s">
        <v>205</v>
      </c>
      <c r="B10" s="5" t="s">
        <v>150</v>
      </c>
      <c r="C10" s="5" t="s">
        <v>206</v>
      </c>
      <c r="D10" s="5" t="s">
        <v>207</v>
      </c>
      <c r="E10" s="5" t="s">
        <v>208</v>
      </c>
      <c r="F10" s="5" t="s">
        <v>209</v>
      </c>
      <c r="G10" s="5" t="s">
        <v>129</v>
      </c>
      <c r="H10" s="14" t="s">
        <v>210</v>
      </c>
      <c r="I10" s="14" t="s">
        <v>211</v>
      </c>
      <c r="J10" s="5" t="s">
        <v>132</v>
      </c>
      <c r="K10" s="5" t="s">
        <v>133</v>
      </c>
      <c r="L10" s="5" t="s">
        <v>212</v>
      </c>
      <c r="M10" s="5" t="s">
        <v>213</v>
      </c>
      <c r="N10" s="5" t="n">
        <f aca="false">SUMIFS('Cuentas CRM y homologación'!$P$2:$P$22,'Cuentas CRM y homologación'!$W$2:$W$22,$A10)</f>
        <v>1</v>
      </c>
      <c r="O10" s="5" t="n">
        <f aca="false">SUMIFS('Cuentas CRM y homologación'!$Q$2:$Q$22,'Cuentas CRM y homologación'!$W$2:$W$22,$A10)</f>
        <v>0</v>
      </c>
      <c r="P10" s="5" t="n">
        <f aca="false">SUMIFS('Cuentas CRM y homologación'!$R$2:$R$22,'Cuentas CRM y homologación'!$W$2:$W$22,$A10)</f>
        <v>0</v>
      </c>
      <c r="Q10" s="5" t="n">
        <f aca="false">SUMIFS('Cuentas CRM y homologación'!$S$2:$S$22,'Cuentas CRM y homologación'!$W$2:$W$22,$A10)</f>
        <v>1</v>
      </c>
      <c r="R10" s="5" t="n">
        <f aca="false">SUMIFS('Cuentas CRM y homologación'!$T$2:$T$22,'Cuentas CRM y homologación'!$W$2:$W$22,$A10)</f>
        <v>0</v>
      </c>
      <c r="S10" s="5" t="s">
        <v>214</v>
      </c>
      <c r="T10" s="5" t="s">
        <v>137</v>
      </c>
    </row>
    <row r="11" customFormat="false" ht="26.85" hidden="false" customHeight="false" outlineLevel="0" collapsed="false">
      <c r="A11" s="5" t="s">
        <v>215</v>
      </c>
      <c r="B11" s="5" t="s">
        <v>171</v>
      </c>
      <c r="C11" s="5" t="s">
        <v>216</v>
      </c>
      <c r="D11" s="5" t="s">
        <v>143</v>
      </c>
      <c r="E11" s="5" t="s">
        <v>143</v>
      </c>
      <c r="F11" s="5" t="s">
        <v>143</v>
      </c>
      <c r="G11" s="5" t="s">
        <v>129</v>
      </c>
      <c r="H11" s="14" t="s">
        <v>217</v>
      </c>
      <c r="I11" s="14" t="s">
        <v>218</v>
      </c>
      <c r="J11" s="5" t="s">
        <v>219</v>
      </c>
      <c r="K11" s="5" t="s">
        <v>220</v>
      </c>
      <c r="L11" s="5" t="s">
        <v>137</v>
      </c>
      <c r="M11" s="5" t="s">
        <v>221</v>
      </c>
      <c r="N11" s="5" t="n">
        <f aca="false">SUMIFS('Cuentas CRM y homologación'!$P$2:$P$22,'Cuentas CRM y homologación'!$W$2:$W$22,$A11)</f>
        <v>0</v>
      </c>
      <c r="O11" s="5" t="n">
        <f aca="false">SUMIFS('Cuentas CRM y homologación'!$Q$2:$Q$22,'Cuentas CRM y homologación'!$W$2:$W$22,$A11)</f>
        <v>0</v>
      </c>
      <c r="P11" s="5" t="n">
        <f aca="false">SUMIFS('Cuentas CRM y homologación'!$R$2:$R$22,'Cuentas CRM y homologación'!$W$2:$W$22,$A11)</f>
        <v>0</v>
      </c>
      <c r="Q11" s="5" t="n">
        <f aca="false">SUMIFS('Cuentas CRM y homologación'!$S$2:$S$22,'Cuentas CRM y homologación'!$W$2:$W$22,$A11)</f>
        <v>0</v>
      </c>
      <c r="R11" s="5" t="n">
        <f aca="false">SUMIFS('Cuentas CRM y homologación'!$T$2:$T$22,'Cuentas CRM y homologación'!$W$2:$W$22,$A11)</f>
        <v>0</v>
      </c>
      <c r="S11" s="5" t="s">
        <v>222</v>
      </c>
      <c r="T11" s="5" t="s">
        <v>137</v>
      </c>
    </row>
    <row r="12" customFormat="false" ht="52.2" hidden="false" customHeight="false" outlineLevel="0" collapsed="false">
      <c r="A12" s="5" t="s">
        <v>223</v>
      </c>
      <c r="B12" s="5" t="s">
        <v>224</v>
      </c>
      <c r="C12" s="5" t="s">
        <v>225</v>
      </c>
      <c r="D12" s="5" t="s">
        <v>226</v>
      </c>
      <c r="E12" s="5" t="s">
        <v>227</v>
      </c>
      <c r="F12" s="5" t="s">
        <v>143</v>
      </c>
      <c r="G12" s="5" t="s">
        <v>129</v>
      </c>
      <c r="H12" s="14" t="s">
        <v>228</v>
      </c>
      <c r="I12" s="14" t="s">
        <v>229</v>
      </c>
      <c r="J12" s="5" t="s">
        <v>219</v>
      </c>
      <c r="K12" s="5" t="s">
        <v>155</v>
      </c>
      <c r="L12" s="5" t="s">
        <v>230</v>
      </c>
      <c r="M12" s="5" t="s">
        <v>231</v>
      </c>
      <c r="N12" s="5" t="n">
        <f aca="false">SUMIFS('Cuentas CRM y homologación'!$P$2:$P$22,'Cuentas CRM y homologación'!$W$2:$W$22,$A12)</f>
        <v>0</v>
      </c>
      <c r="O12" s="5" t="n">
        <f aca="false">SUMIFS('Cuentas CRM y homologación'!$Q$2:$Q$22,'Cuentas CRM y homologación'!$W$2:$W$22,$A12)</f>
        <v>1</v>
      </c>
      <c r="P12" s="5" t="n">
        <f aca="false">SUMIFS('Cuentas CRM y homologación'!$R$2:$R$22,'Cuentas CRM y homologación'!$W$2:$W$22,$A12)</f>
        <v>0</v>
      </c>
      <c r="Q12" s="5" t="n">
        <f aca="false">SUMIFS('Cuentas CRM y homologación'!$S$2:$S$22,'Cuentas CRM y homologación'!$W$2:$W$22,$A12)</f>
        <v>0</v>
      </c>
      <c r="R12" s="5" t="n">
        <f aca="false">SUMIFS('Cuentas CRM y homologación'!$T$2:$T$22,'Cuentas CRM y homologación'!$W$2:$W$22,$A12)</f>
        <v>1</v>
      </c>
      <c r="S12" s="5" t="s">
        <v>232</v>
      </c>
      <c r="T12" s="5" t="s">
        <v>137</v>
      </c>
    </row>
    <row r="13" customFormat="false" ht="52.2" hidden="false" customHeight="false" outlineLevel="0" collapsed="false">
      <c r="A13" s="5" t="s">
        <v>233</v>
      </c>
      <c r="B13" s="5" t="s">
        <v>224</v>
      </c>
      <c r="C13" s="5" t="s">
        <v>234</v>
      </c>
      <c r="D13" s="5" t="s">
        <v>235</v>
      </c>
      <c r="E13" s="5" t="s">
        <v>236</v>
      </c>
      <c r="F13" s="5" t="s">
        <v>143</v>
      </c>
      <c r="G13" s="5" t="s">
        <v>129</v>
      </c>
      <c r="H13" s="14" t="s">
        <v>237</v>
      </c>
      <c r="I13" s="14" t="s">
        <v>238</v>
      </c>
      <c r="J13" s="5" t="s">
        <v>219</v>
      </c>
      <c r="K13" s="5" t="s">
        <v>155</v>
      </c>
      <c r="L13" s="5" t="s">
        <v>239</v>
      </c>
      <c r="M13" s="5" t="s">
        <v>240</v>
      </c>
      <c r="N13" s="5" t="n">
        <f aca="false">SUMIFS('Cuentas CRM y homologación'!$P$2:$P$22,'Cuentas CRM y homologación'!$W$2:$W$22,$A13)</f>
        <v>1</v>
      </c>
      <c r="O13" s="5" t="n">
        <f aca="false">SUMIFS('Cuentas CRM y homologación'!$Q$2:$Q$22,'Cuentas CRM y homologación'!$W$2:$W$22,$A13)</f>
        <v>1</v>
      </c>
      <c r="P13" s="5" t="n">
        <f aca="false">SUMIFS('Cuentas CRM y homologación'!$R$2:$R$22,'Cuentas CRM y homologación'!$W$2:$W$22,$A13)</f>
        <v>0</v>
      </c>
      <c r="Q13" s="5" t="n">
        <f aca="false">SUMIFS('Cuentas CRM y homologación'!$S$2:$S$22,'Cuentas CRM y homologación'!$W$2:$W$22,$A13)</f>
        <v>1</v>
      </c>
      <c r="R13" s="5" t="n">
        <f aca="false">SUMIFS('Cuentas CRM y homologación'!$T$2:$T$22,'Cuentas CRM y homologación'!$W$2:$W$22,$A13)</f>
        <v>1</v>
      </c>
      <c r="S13" s="5" t="s">
        <v>241</v>
      </c>
      <c r="T13" s="5" t="s">
        <v>137</v>
      </c>
    </row>
    <row r="14" customFormat="false" ht="39.55" hidden="false" customHeight="false" outlineLevel="0" collapsed="false">
      <c r="A14" s="5" t="s">
        <v>242</v>
      </c>
      <c r="B14" s="5" t="s">
        <v>243</v>
      </c>
      <c r="C14" s="5" t="s">
        <v>244</v>
      </c>
      <c r="D14" s="5" t="s">
        <v>126</v>
      </c>
      <c r="E14" s="5" t="s">
        <v>127</v>
      </c>
      <c r="F14" s="5" t="s">
        <v>245</v>
      </c>
      <c r="G14" s="5" t="s">
        <v>129</v>
      </c>
      <c r="H14" s="14" t="s">
        <v>246</v>
      </c>
      <c r="I14" s="14" t="s">
        <v>247</v>
      </c>
      <c r="J14" s="5" t="s">
        <v>132</v>
      </c>
      <c r="K14" s="5" t="s">
        <v>248</v>
      </c>
      <c r="L14" s="5" t="s">
        <v>137</v>
      </c>
      <c r="M14" s="5" t="s">
        <v>249</v>
      </c>
      <c r="N14" s="5" t="n">
        <f aca="false">SUMIFS('Cuentas CRM y homologación'!$P$2:$P$22,'Cuentas CRM y homologación'!$W$2:$W$22,$A14)</f>
        <v>0</v>
      </c>
      <c r="O14" s="5" t="n">
        <f aca="false">SUMIFS('Cuentas CRM y homologación'!$Q$2:$Q$22,'Cuentas CRM y homologación'!$W$2:$W$22,$A14)</f>
        <v>0</v>
      </c>
      <c r="P14" s="5" t="n">
        <f aca="false">SUMIFS('Cuentas CRM y homologación'!$R$2:$R$22,'Cuentas CRM y homologación'!$W$2:$W$22,$A14)</f>
        <v>0</v>
      </c>
      <c r="Q14" s="5" t="n">
        <f aca="false">SUMIFS('Cuentas CRM y homologación'!$S$2:$S$22,'Cuentas CRM y homologación'!$W$2:$W$22,$A14)</f>
        <v>0</v>
      </c>
      <c r="R14" s="5" t="n">
        <f aca="false">SUMIFS('Cuentas CRM y homologación'!$T$2:$T$22,'Cuentas CRM y homologación'!$W$2:$W$22,$A14)</f>
        <v>0</v>
      </c>
      <c r="S14" s="5" t="s">
        <v>250</v>
      </c>
      <c r="T14" s="5" t="s">
        <v>137</v>
      </c>
    </row>
    <row r="15" customFormat="false" ht="39.55" hidden="false" customHeight="false" outlineLevel="0" collapsed="false">
      <c r="A15" s="5" t="s">
        <v>251</v>
      </c>
      <c r="B15" s="5" t="s">
        <v>243</v>
      </c>
      <c r="C15" s="5" t="s">
        <v>252</v>
      </c>
      <c r="D15" s="5" t="s">
        <v>226</v>
      </c>
      <c r="E15" s="5" t="s">
        <v>227</v>
      </c>
      <c r="F15" s="5" t="s">
        <v>253</v>
      </c>
      <c r="G15" s="5" t="s">
        <v>129</v>
      </c>
      <c r="H15" s="14" t="s">
        <v>246</v>
      </c>
      <c r="I15" s="14" t="s">
        <v>247</v>
      </c>
      <c r="J15" s="5" t="s">
        <v>132</v>
      </c>
      <c r="K15" s="5" t="s">
        <v>254</v>
      </c>
      <c r="L15" s="5" t="s">
        <v>137</v>
      </c>
      <c r="M15" s="5" t="s">
        <v>255</v>
      </c>
      <c r="N15" s="5" t="n">
        <f aca="false">SUMIFS('Cuentas CRM y homologación'!$P$2:$P$22,'Cuentas CRM y homologación'!$W$2:$W$22,$A15)</f>
        <v>0</v>
      </c>
      <c r="O15" s="5" t="n">
        <f aca="false">SUMIFS('Cuentas CRM y homologación'!$Q$2:$Q$22,'Cuentas CRM y homologación'!$W$2:$W$22,$A15)</f>
        <v>0</v>
      </c>
      <c r="P15" s="5" t="n">
        <f aca="false">SUMIFS('Cuentas CRM y homologación'!$R$2:$R$22,'Cuentas CRM y homologación'!$W$2:$W$22,$A15)</f>
        <v>0</v>
      </c>
      <c r="Q15" s="5" t="n">
        <f aca="false">SUMIFS('Cuentas CRM y homologación'!$S$2:$S$22,'Cuentas CRM y homologación'!$W$2:$W$22,$A15)</f>
        <v>0</v>
      </c>
      <c r="R15" s="5" t="n">
        <f aca="false">SUMIFS('Cuentas CRM y homologación'!$T$2:$T$22,'Cuentas CRM y homologación'!$W$2:$W$22,$A15)</f>
        <v>0</v>
      </c>
      <c r="S15" s="5"/>
      <c r="T15" s="5" t="s">
        <v>137</v>
      </c>
    </row>
    <row r="16" customFormat="false" ht="39.55" hidden="false" customHeight="false" outlineLevel="0" collapsed="false">
      <c r="A16" s="5" t="s">
        <v>256</v>
      </c>
      <c r="B16" s="5" t="s">
        <v>243</v>
      </c>
      <c r="C16" s="5" t="s">
        <v>257</v>
      </c>
      <c r="D16" s="5" t="s">
        <v>199</v>
      </c>
      <c r="E16" s="5" t="s">
        <v>200</v>
      </c>
      <c r="F16" s="5" t="s">
        <v>258</v>
      </c>
      <c r="G16" s="5" t="s">
        <v>129</v>
      </c>
      <c r="H16" s="14" t="s">
        <v>246</v>
      </c>
      <c r="I16" s="14" t="s">
        <v>247</v>
      </c>
      <c r="J16" s="5" t="s">
        <v>132</v>
      </c>
      <c r="K16" s="5" t="s">
        <v>259</v>
      </c>
      <c r="L16" s="5" t="s">
        <v>137</v>
      </c>
      <c r="M16" s="5" t="s">
        <v>260</v>
      </c>
      <c r="N16" s="5" t="n">
        <f aca="false">SUMIFS('Cuentas CRM y homologación'!$P$2:$P$22,'Cuentas CRM y homologación'!$W$2:$W$22,$A16)</f>
        <v>0</v>
      </c>
      <c r="O16" s="5" t="n">
        <f aca="false">SUMIFS('Cuentas CRM y homologación'!$Q$2:$Q$22,'Cuentas CRM y homologación'!$W$2:$W$22,$A16)</f>
        <v>0</v>
      </c>
      <c r="P16" s="5" t="n">
        <f aca="false">SUMIFS('Cuentas CRM y homologación'!$R$2:$R$22,'Cuentas CRM y homologación'!$W$2:$W$22,$A16)</f>
        <v>0</v>
      </c>
      <c r="Q16" s="5" t="n">
        <f aca="false">SUMIFS('Cuentas CRM y homologación'!$S$2:$S$22,'Cuentas CRM y homologación'!$W$2:$W$22,$A16)</f>
        <v>0</v>
      </c>
      <c r="R16" s="5" t="n">
        <f aca="false">SUMIFS('Cuentas CRM y homologación'!$T$2:$T$22,'Cuentas CRM y homologación'!$W$2:$W$22,$A16)</f>
        <v>0</v>
      </c>
      <c r="S16" s="5"/>
      <c r="T16" s="5" t="s">
        <v>137</v>
      </c>
    </row>
    <row r="17" customFormat="false" ht="39.55" hidden="false" customHeight="false" outlineLevel="0" collapsed="false">
      <c r="A17" s="5" t="s">
        <v>261</v>
      </c>
      <c r="B17" s="5" t="s">
        <v>243</v>
      </c>
      <c r="C17" s="5" t="s">
        <v>262</v>
      </c>
      <c r="D17" s="5" t="s">
        <v>191</v>
      </c>
      <c r="E17" s="5" t="s">
        <v>192</v>
      </c>
      <c r="F17" s="5" t="s">
        <v>263</v>
      </c>
      <c r="G17" s="5" t="s">
        <v>129</v>
      </c>
      <c r="H17" s="14" t="s">
        <v>246</v>
      </c>
      <c r="I17" s="14" t="s">
        <v>247</v>
      </c>
      <c r="J17" s="5" t="s">
        <v>132</v>
      </c>
      <c r="K17" s="5" t="s">
        <v>264</v>
      </c>
      <c r="L17" s="5" t="s">
        <v>137</v>
      </c>
      <c r="M17" s="5" t="s">
        <v>265</v>
      </c>
      <c r="N17" s="5" t="n">
        <f aca="false">SUMIFS('Cuentas CRM y homologación'!$P$2:$P$22,'Cuentas CRM y homologación'!$W$2:$W$22,$A17)</f>
        <v>0</v>
      </c>
      <c r="O17" s="5" t="n">
        <f aca="false">SUMIFS('Cuentas CRM y homologación'!$Q$2:$Q$22,'Cuentas CRM y homologación'!$W$2:$W$22,$A17)</f>
        <v>0</v>
      </c>
      <c r="P17" s="5" t="n">
        <f aca="false">SUMIFS('Cuentas CRM y homologación'!$R$2:$R$22,'Cuentas CRM y homologación'!$W$2:$W$22,$A17)</f>
        <v>0</v>
      </c>
      <c r="Q17" s="5" t="n">
        <f aca="false">SUMIFS('Cuentas CRM y homologación'!$S$2:$S$22,'Cuentas CRM y homologación'!$W$2:$W$22,$A17)</f>
        <v>0</v>
      </c>
      <c r="R17" s="5" t="n">
        <f aca="false">SUMIFS('Cuentas CRM y homologación'!$T$2:$T$22,'Cuentas CRM y homologación'!$W$2:$W$22,$A17)</f>
        <v>0</v>
      </c>
      <c r="S17" s="5"/>
      <c r="T17" s="5" t="s">
        <v>137</v>
      </c>
    </row>
    <row r="18" customFormat="false" ht="39.55" hidden="false" customHeight="false" outlineLevel="0" collapsed="false">
      <c r="A18" s="5" t="s">
        <v>266</v>
      </c>
      <c r="B18" s="5" t="s">
        <v>243</v>
      </c>
      <c r="C18" s="5" t="s">
        <v>267</v>
      </c>
      <c r="D18" s="5" t="s">
        <v>161</v>
      </c>
      <c r="E18" s="5" t="s">
        <v>162</v>
      </c>
      <c r="F18" s="5" t="s">
        <v>268</v>
      </c>
      <c r="G18" s="5" t="s">
        <v>129</v>
      </c>
      <c r="H18" s="14" t="s">
        <v>246</v>
      </c>
      <c r="I18" s="14" t="s">
        <v>247</v>
      </c>
      <c r="J18" s="5" t="s">
        <v>132</v>
      </c>
      <c r="K18" s="5" t="s">
        <v>269</v>
      </c>
      <c r="L18" s="5" t="s">
        <v>137</v>
      </c>
      <c r="M18" s="5" t="s">
        <v>270</v>
      </c>
      <c r="N18" s="5" t="n">
        <f aca="false">SUMIFS('Cuentas CRM y homologación'!$P$2:$P$22,'Cuentas CRM y homologación'!$W$2:$W$22,$A18)</f>
        <v>0</v>
      </c>
      <c r="O18" s="5" t="n">
        <f aca="false">SUMIFS('Cuentas CRM y homologación'!$Q$2:$Q$22,'Cuentas CRM y homologación'!$W$2:$W$22,$A18)</f>
        <v>0</v>
      </c>
      <c r="P18" s="5" t="n">
        <f aca="false">SUMIFS('Cuentas CRM y homologación'!$R$2:$R$22,'Cuentas CRM y homologación'!$W$2:$W$22,$A18)</f>
        <v>0</v>
      </c>
      <c r="Q18" s="5" t="n">
        <f aca="false">SUMIFS('Cuentas CRM y homologación'!$S$2:$S$22,'Cuentas CRM y homologación'!$W$2:$W$22,$A18)</f>
        <v>0</v>
      </c>
      <c r="R18" s="5" t="n">
        <f aca="false">SUMIFS('Cuentas CRM y homologación'!$T$2:$T$22,'Cuentas CRM y homologación'!$W$2:$W$22,$A18)</f>
        <v>0</v>
      </c>
      <c r="S18" s="5"/>
      <c r="T18" s="5" t="s">
        <v>137</v>
      </c>
    </row>
    <row r="19" customFormat="false" ht="39.55" hidden="false" customHeight="false" outlineLevel="0" collapsed="false">
      <c r="A19" s="5" t="s">
        <v>271</v>
      </c>
      <c r="B19" s="5" t="s">
        <v>243</v>
      </c>
      <c r="C19" s="5" t="s">
        <v>272</v>
      </c>
      <c r="D19" s="5" t="s">
        <v>183</v>
      </c>
      <c r="E19" s="5" t="s">
        <v>184</v>
      </c>
      <c r="F19" s="5" t="s">
        <v>273</v>
      </c>
      <c r="G19" s="5" t="s">
        <v>129</v>
      </c>
      <c r="H19" s="14" t="s">
        <v>246</v>
      </c>
      <c r="I19" s="14" t="s">
        <v>247</v>
      </c>
      <c r="J19" s="5" t="s">
        <v>132</v>
      </c>
      <c r="K19" s="5" t="s">
        <v>274</v>
      </c>
      <c r="L19" s="5" t="s">
        <v>137</v>
      </c>
      <c r="M19" s="5" t="s">
        <v>275</v>
      </c>
      <c r="N19" s="5" t="n">
        <f aca="false">SUMIFS('Cuentas CRM y homologación'!$P$2:$P$22,'Cuentas CRM y homologación'!$W$2:$W$22,$A19)</f>
        <v>0</v>
      </c>
      <c r="O19" s="5" t="n">
        <f aca="false">SUMIFS('Cuentas CRM y homologación'!$Q$2:$Q$22,'Cuentas CRM y homologación'!$W$2:$W$22,$A19)</f>
        <v>0</v>
      </c>
      <c r="P19" s="5" t="n">
        <f aca="false">SUMIFS('Cuentas CRM y homologación'!$R$2:$R$22,'Cuentas CRM y homologación'!$W$2:$W$22,$A19)</f>
        <v>0</v>
      </c>
      <c r="Q19" s="5" t="n">
        <f aca="false">SUMIFS('Cuentas CRM y homologación'!$S$2:$S$22,'Cuentas CRM y homologación'!$W$2:$W$22,$A19)</f>
        <v>0</v>
      </c>
      <c r="R19" s="5" t="n">
        <f aca="false">SUMIFS('Cuentas CRM y homologación'!$T$2:$T$22,'Cuentas CRM y homologación'!$W$2:$W$22,$A19)</f>
        <v>0</v>
      </c>
      <c r="S19" s="5"/>
      <c r="T19" s="5" t="s">
        <v>137</v>
      </c>
    </row>
    <row r="20" customFormat="false" ht="39.55" hidden="false" customHeight="false" outlineLevel="0" collapsed="false">
      <c r="A20" s="5" t="s">
        <v>276</v>
      </c>
      <c r="B20" s="5" t="s">
        <v>243</v>
      </c>
      <c r="C20" s="5" t="s">
        <v>277</v>
      </c>
      <c r="D20" s="5" t="s">
        <v>278</v>
      </c>
      <c r="E20" s="5" t="s">
        <v>208</v>
      </c>
      <c r="F20" s="5" t="s">
        <v>279</v>
      </c>
      <c r="G20" s="5" t="s">
        <v>129</v>
      </c>
      <c r="H20" s="14" t="s">
        <v>246</v>
      </c>
      <c r="I20" s="14" t="s">
        <v>247</v>
      </c>
      <c r="J20" s="5" t="s">
        <v>132</v>
      </c>
      <c r="K20" s="5" t="s">
        <v>280</v>
      </c>
      <c r="L20" s="5" t="s">
        <v>137</v>
      </c>
      <c r="M20" s="5" t="s">
        <v>281</v>
      </c>
      <c r="N20" s="5" t="n">
        <f aca="false">SUMIFS('Cuentas CRM y homologación'!$P$2:$P$22,'Cuentas CRM y homologación'!$W$2:$W$22,$A20)</f>
        <v>0</v>
      </c>
      <c r="O20" s="5" t="n">
        <f aca="false">SUMIFS('Cuentas CRM y homologación'!$Q$2:$Q$22,'Cuentas CRM y homologación'!$W$2:$W$22,$A20)</f>
        <v>0</v>
      </c>
      <c r="P20" s="5" t="n">
        <f aca="false">SUMIFS('Cuentas CRM y homologación'!$R$2:$R$22,'Cuentas CRM y homologación'!$W$2:$W$22,$A20)</f>
        <v>0</v>
      </c>
      <c r="Q20" s="5" t="n">
        <f aca="false">SUMIFS('Cuentas CRM y homologación'!$S$2:$S$22,'Cuentas CRM y homologación'!$W$2:$W$22,$A20)</f>
        <v>0</v>
      </c>
      <c r="R20" s="5" t="n">
        <f aca="false">SUMIFS('Cuentas CRM y homologación'!$T$2:$T$22,'Cuentas CRM y homologación'!$W$2:$W$22,$A20)</f>
        <v>0</v>
      </c>
      <c r="S20" s="5"/>
      <c r="T20" s="5" t="s">
        <v>137</v>
      </c>
    </row>
    <row r="21" customFormat="false" ht="64.9" hidden="false" customHeight="false" outlineLevel="0" collapsed="false">
      <c r="A21" s="5" t="s">
        <v>282</v>
      </c>
      <c r="B21" s="5" t="s">
        <v>283</v>
      </c>
      <c r="C21" s="5" t="s">
        <v>284</v>
      </c>
      <c r="D21" s="5" t="s">
        <v>285</v>
      </c>
      <c r="E21" s="5" t="s">
        <v>227</v>
      </c>
      <c r="F21" s="5" t="s">
        <v>286</v>
      </c>
      <c r="G21" s="5" t="s">
        <v>129</v>
      </c>
      <c r="H21" s="14" t="s">
        <v>287</v>
      </c>
      <c r="I21" s="14" t="s">
        <v>288</v>
      </c>
      <c r="J21" s="5" t="s">
        <v>132</v>
      </c>
      <c r="K21" s="5" t="s">
        <v>166</v>
      </c>
      <c r="L21" s="5" t="s">
        <v>137</v>
      </c>
      <c r="M21" s="5" t="s">
        <v>289</v>
      </c>
      <c r="N21" s="5" t="n">
        <f aca="false">SUMIFS('Cuentas CRM y homologación'!$P$2:$P$22,'Cuentas CRM y homologación'!$W$2:$W$22,$A21)</f>
        <v>0</v>
      </c>
      <c r="O21" s="5" t="n">
        <f aca="false">SUMIFS('Cuentas CRM y homologación'!$Q$2:$Q$22,'Cuentas CRM y homologación'!$W$2:$W$22,$A21)</f>
        <v>0</v>
      </c>
      <c r="P21" s="5" t="n">
        <f aca="false">SUMIFS('Cuentas CRM y homologación'!$R$2:$R$22,'Cuentas CRM y homologación'!$W$2:$W$22,$A21)</f>
        <v>0</v>
      </c>
      <c r="Q21" s="5" t="n">
        <f aca="false">SUMIFS('Cuentas CRM y homologación'!$S$2:$S$22,'Cuentas CRM y homologación'!$W$2:$W$22,$A21)</f>
        <v>0</v>
      </c>
      <c r="R21" s="5" t="n">
        <f aca="false">SUMIFS('Cuentas CRM y homologación'!$T$2:$T$22,'Cuentas CRM y homologación'!$W$2:$W$22,$A21)</f>
        <v>0</v>
      </c>
      <c r="S21" s="5" t="s">
        <v>290</v>
      </c>
      <c r="T21" s="5" t="s">
        <v>291</v>
      </c>
    </row>
    <row r="22" customFormat="false" ht="46.25" hidden="false" customHeight="false" outlineLevel="0" collapsed="false">
      <c r="A22" s="5" t="s">
        <v>292</v>
      </c>
      <c r="B22" s="5" t="s">
        <v>283</v>
      </c>
      <c r="C22" s="5" t="s">
        <v>293</v>
      </c>
      <c r="D22" s="5" t="s">
        <v>294</v>
      </c>
      <c r="E22" s="5" t="s">
        <v>162</v>
      </c>
      <c r="F22" s="5" t="s">
        <v>295</v>
      </c>
      <c r="G22" s="5" t="s">
        <v>129</v>
      </c>
      <c r="H22" s="14" t="s">
        <v>296</v>
      </c>
      <c r="I22" s="14" t="s">
        <v>297</v>
      </c>
      <c r="J22" s="5" t="s">
        <v>132</v>
      </c>
      <c r="K22" s="5" t="s">
        <v>166</v>
      </c>
      <c r="L22" s="5" t="s">
        <v>137</v>
      </c>
      <c r="M22" s="5" t="s">
        <v>298</v>
      </c>
      <c r="N22" s="5" t="n">
        <f aca="false">SUMIFS('Cuentas CRM y homologación'!$P$2:$P$22,'Cuentas CRM y homologación'!$W$2:$W$22,$A22)</f>
        <v>0</v>
      </c>
      <c r="O22" s="5" t="n">
        <f aca="false">SUMIFS('Cuentas CRM y homologación'!$Q$2:$Q$22,'Cuentas CRM y homologación'!$W$2:$W$22,$A22)</f>
        <v>0</v>
      </c>
      <c r="P22" s="5" t="n">
        <f aca="false">SUMIFS('Cuentas CRM y homologación'!$R$2:$R$22,'Cuentas CRM y homologación'!$W$2:$W$22,$A22)</f>
        <v>0</v>
      </c>
      <c r="Q22" s="5" t="n">
        <f aca="false">SUMIFS('Cuentas CRM y homologación'!$S$2:$S$22,'Cuentas CRM y homologación'!$W$2:$W$22,$A22)</f>
        <v>0</v>
      </c>
      <c r="R22" s="5" t="n">
        <f aca="false">SUMIFS('Cuentas CRM y homologación'!$T$2:$T$22,'Cuentas CRM y homologación'!$W$2:$W$22,$A22)</f>
        <v>0</v>
      </c>
      <c r="S22" s="5" t="s">
        <v>299</v>
      </c>
      <c r="T22" s="5" t="s">
        <v>291</v>
      </c>
    </row>
    <row r="23" customFormat="false" ht="52.2" hidden="false" customHeight="false" outlineLevel="0" collapsed="false">
      <c r="A23" s="5" t="s">
        <v>300</v>
      </c>
      <c r="B23" s="5" t="s">
        <v>283</v>
      </c>
      <c r="C23" s="5" t="s">
        <v>301</v>
      </c>
      <c r="D23" s="5" t="s">
        <v>226</v>
      </c>
      <c r="E23" s="5" t="s">
        <v>227</v>
      </c>
      <c r="F23" s="5" t="s">
        <v>302</v>
      </c>
      <c r="G23" s="5" t="s">
        <v>129</v>
      </c>
      <c r="H23" s="14" t="s">
        <v>303</v>
      </c>
      <c r="I23" s="14" t="s">
        <v>304</v>
      </c>
      <c r="J23" s="5" t="s">
        <v>177</v>
      </c>
      <c r="K23" s="5" t="s">
        <v>166</v>
      </c>
      <c r="L23" s="5" t="s">
        <v>137</v>
      </c>
      <c r="M23" s="5" t="s">
        <v>305</v>
      </c>
      <c r="N23" s="5" t="n">
        <f aca="false">SUMIFS('Cuentas CRM y homologación'!$P$2:$P$22,'Cuentas CRM y homologación'!$W$2:$W$22,$A23)</f>
        <v>0</v>
      </c>
      <c r="O23" s="5" t="n">
        <f aca="false">SUMIFS('Cuentas CRM y homologación'!$Q$2:$Q$22,'Cuentas CRM y homologación'!$W$2:$W$22,$A23)</f>
        <v>0</v>
      </c>
      <c r="P23" s="5" t="n">
        <f aca="false">SUMIFS('Cuentas CRM y homologación'!$R$2:$R$22,'Cuentas CRM y homologación'!$W$2:$W$22,$A23)</f>
        <v>0</v>
      </c>
      <c r="Q23" s="5" t="n">
        <f aca="false">SUMIFS('Cuentas CRM y homologación'!$S$2:$S$22,'Cuentas CRM y homologación'!$W$2:$W$22,$A23)</f>
        <v>0</v>
      </c>
      <c r="R23" s="5" t="n">
        <f aca="false">SUMIFS('Cuentas CRM y homologación'!$T$2:$T$22,'Cuentas CRM y homologación'!$W$2:$W$22,$A23)</f>
        <v>0</v>
      </c>
      <c r="S23" s="5" t="s">
        <v>306</v>
      </c>
      <c r="T23" s="5" t="s">
        <v>307</v>
      </c>
    </row>
    <row r="24" customFormat="false" ht="39.55" hidden="false" customHeight="false" outlineLevel="0" collapsed="false">
      <c r="A24" s="5" t="s">
        <v>308</v>
      </c>
      <c r="B24" s="5" t="s">
        <v>283</v>
      </c>
      <c r="C24" s="5" t="s">
        <v>309</v>
      </c>
      <c r="D24" s="5" t="s">
        <v>226</v>
      </c>
      <c r="E24" s="5" t="s">
        <v>227</v>
      </c>
      <c r="F24" s="5" t="s">
        <v>310</v>
      </c>
      <c r="G24" s="5" t="s">
        <v>129</v>
      </c>
      <c r="H24" s="14" t="s">
        <v>311</v>
      </c>
      <c r="I24" s="14" t="s">
        <v>312</v>
      </c>
      <c r="J24" s="5" t="s">
        <v>177</v>
      </c>
      <c r="K24" s="5" t="s">
        <v>166</v>
      </c>
      <c r="L24" s="5" t="s">
        <v>137</v>
      </c>
      <c r="M24" s="5" t="s">
        <v>305</v>
      </c>
      <c r="N24" s="5" t="n">
        <f aca="false">SUMIFS('Cuentas CRM y homologación'!$P$2:$P$22,'Cuentas CRM y homologación'!$W$2:$W$22,$A24)</f>
        <v>0</v>
      </c>
      <c r="O24" s="5" t="n">
        <f aca="false">SUMIFS('Cuentas CRM y homologación'!$Q$2:$Q$22,'Cuentas CRM y homologación'!$W$2:$W$22,$A24)</f>
        <v>0</v>
      </c>
      <c r="P24" s="5" t="n">
        <f aca="false">SUMIFS('Cuentas CRM y homologación'!$R$2:$R$22,'Cuentas CRM y homologación'!$W$2:$W$22,$A24)</f>
        <v>0</v>
      </c>
      <c r="Q24" s="5" t="n">
        <f aca="false">SUMIFS('Cuentas CRM y homologación'!$S$2:$S$22,'Cuentas CRM y homologación'!$W$2:$W$22,$A24)</f>
        <v>0</v>
      </c>
      <c r="R24" s="5" t="n">
        <f aca="false">SUMIFS('Cuentas CRM y homologación'!$T$2:$T$22,'Cuentas CRM y homologación'!$W$2:$W$22,$A24)</f>
        <v>0</v>
      </c>
      <c r="S24" s="5" t="s">
        <v>313</v>
      </c>
      <c r="T24" s="5" t="s">
        <v>307</v>
      </c>
    </row>
    <row r="25" customFormat="false" ht="26.85" hidden="false" customHeight="false" outlineLevel="0" collapsed="false">
      <c r="A25" s="5" t="s">
        <v>314</v>
      </c>
      <c r="B25" s="5" t="s">
        <v>315</v>
      </c>
      <c r="C25" s="5" t="s">
        <v>316</v>
      </c>
      <c r="D25" s="5" t="s">
        <v>317</v>
      </c>
      <c r="E25" s="5" t="s">
        <v>184</v>
      </c>
      <c r="F25" s="5" t="s">
        <v>143</v>
      </c>
      <c r="G25" s="5" t="s">
        <v>129</v>
      </c>
      <c r="H25" s="14" t="s">
        <v>217</v>
      </c>
      <c r="I25" s="14" t="s">
        <v>218</v>
      </c>
      <c r="J25" s="5" t="s">
        <v>177</v>
      </c>
      <c r="K25" s="5" t="s">
        <v>166</v>
      </c>
      <c r="L25" s="5" t="s">
        <v>137</v>
      </c>
      <c r="M25" s="5" t="s">
        <v>318</v>
      </c>
      <c r="N25" s="5" t="n">
        <f aca="false">SUMIFS('Cuentas CRM y homologación'!$P$2:$P$22,'Cuentas CRM y homologación'!$W$2:$W$22,$A25)</f>
        <v>0</v>
      </c>
      <c r="O25" s="5" t="n">
        <f aca="false">SUMIFS('Cuentas CRM y homologación'!$Q$2:$Q$22,'Cuentas CRM y homologación'!$W$2:$W$22,$A25)</f>
        <v>0</v>
      </c>
      <c r="P25" s="5" t="n">
        <f aca="false">SUMIFS('Cuentas CRM y homologación'!$R$2:$R$22,'Cuentas CRM y homologación'!$W$2:$W$22,$A25)</f>
        <v>0</v>
      </c>
      <c r="Q25" s="5" t="n">
        <f aca="false">SUMIFS('Cuentas CRM y homologación'!$S$2:$S$22,'Cuentas CRM y homologación'!$W$2:$W$22,$A25)</f>
        <v>0</v>
      </c>
      <c r="R25" s="5" t="n">
        <f aca="false">SUMIFS('Cuentas CRM y homologación'!$T$2:$T$22,'Cuentas CRM y homologación'!$W$2:$W$22,$A25)</f>
        <v>0</v>
      </c>
      <c r="S25" s="5" t="s">
        <v>319</v>
      </c>
      <c r="T25" s="5" t="s">
        <v>307</v>
      </c>
    </row>
    <row r="26" customFormat="false" ht="37.3" hidden="false" customHeight="false" outlineLevel="0" collapsed="false">
      <c r="A26" s="5" t="s">
        <v>320</v>
      </c>
      <c r="B26" s="5" t="s">
        <v>315</v>
      </c>
      <c r="C26" s="5" t="s">
        <v>321</v>
      </c>
      <c r="D26" s="5" t="s">
        <v>192</v>
      </c>
      <c r="E26" s="5" t="s">
        <v>192</v>
      </c>
      <c r="F26" s="5" t="s">
        <v>143</v>
      </c>
      <c r="G26" s="5" t="s">
        <v>129</v>
      </c>
      <c r="H26" s="14" t="s">
        <v>322</v>
      </c>
      <c r="I26" s="14" t="s">
        <v>323</v>
      </c>
      <c r="J26" s="5" t="s">
        <v>132</v>
      </c>
      <c r="K26" s="5" t="s">
        <v>166</v>
      </c>
      <c r="L26" s="5" t="s">
        <v>137</v>
      </c>
      <c r="M26" s="5" t="s">
        <v>324</v>
      </c>
      <c r="N26" s="5" t="n">
        <f aca="false">SUMIFS('Cuentas CRM y homologación'!$P$2:$P$22,'Cuentas CRM y homologación'!$W$2:$W$22,$A26)</f>
        <v>0</v>
      </c>
      <c r="O26" s="5" t="n">
        <f aca="false">SUMIFS('Cuentas CRM y homologación'!$Q$2:$Q$22,'Cuentas CRM y homologación'!$W$2:$W$22,$A26)</f>
        <v>0</v>
      </c>
      <c r="P26" s="5" t="n">
        <f aca="false">SUMIFS('Cuentas CRM y homologación'!$R$2:$R$22,'Cuentas CRM y homologación'!$W$2:$W$22,$A26)</f>
        <v>0</v>
      </c>
      <c r="Q26" s="5" t="n">
        <f aca="false">SUMIFS('Cuentas CRM y homologación'!$S$2:$S$22,'Cuentas CRM y homologación'!$W$2:$W$22,$A26)</f>
        <v>0</v>
      </c>
      <c r="R26" s="5" t="n">
        <f aca="false">SUMIFS('Cuentas CRM y homologación'!$T$2:$T$22,'Cuentas CRM y homologación'!$W$2:$W$22,$A26)</f>
        <v>0</v>
      </c>
      <c r="S26" s="5" t="s">
        <v>325</v>
      </c>
      <c r="T26" s="5" t="s">
        <v>169</v>
      </c>
    </row>
    <row r="27" customFormat="false" ht="37.3" hidden="false" customHeight="false" outlineLevel="0" collapsed="false">
      <c r="A27" s="5" t="s">
        <v>326</v>
      </c>
      <c r="B27" s="5" t="s">
        <v>327</v>
      </c>
      <c r="C27" s="5" t="s">
        <v>328</v>
      </c>
      <c r="D27" s="5" t="s">
        <v>329</v>
      </c>
      <c r="E27" s="5" t="s">
        <v>330</v>
      </c>
      <c r="F27" s="5" t="s">
        <v>143</v>
      </c>
      <c r="G27" s="5" t="s">
        <v>129</v>
      </c>
      <c r="H27" s="14" t="s">
        <v>331</v>
      </c>
      <c r="I27" s="14" t="s">
        <v>332</v>
      </c>
      <c r="J27" s="5" t="s">
        <v>132</v>
      </c>
      <c r="K27" s="5" t="s">
        <v>166</v>
      </c>
      <c r="L27" s="5" t="s">
        <v>137</v>
      </c>
      <c r="M27" s="5" t="s">
        <v>333</v>
      </c>
      <c r="N27" s="5" t="n">
        <f aca="false">SUMIFS('Cuentas CRM y homologación'!$P$2:$P$22,'Cuentas CRM y homologación'!$W$2:$W$22,$A27)</f>
        <v>0</v>
      </c>
      <c r="O27" s="5" t="n">
        <f aca="false">SUMIFS('Cuentas CRM y homologación'!$Q$2:$Q$22,'Cuentas CRM y homologación'!$W$2:$W$22,$A27)</f>
        <v>0</v>
      </c>
      <c r="P27" s="5" t="n">
        <f aca="false">SUMIFS('Cuentas CRM y homologación'!$R$2:$R$22,'Cuentas CRM y homologación'!$W$2:$W$22,$A27)</f>
        <v>0</v>
      </c>
      <c r="Q27" s="5" t="n">
        <f aca="false">SUMIFS('Cuentas CRM y homologación'!$S$2:$S$22,'Cuentas CRM y homologación'!$W$2:$W$22,$A27)</f>
        <v>0</v>
      </c>
      <c r="R27" s="5" t="n">
        <f aca="false">SUMIFS('Cuentas CRM y homologación'!$T$2:$T$22,'Cuentas CRM y homologación'!$W$2:$W$22,$A27)</f>
        <v>0</v>
      </c>
      <c r="S27" s="5" t="s">
        <v>334</v>
      </c>
      <c r="T27" s="5" t="s">
        <v>169</v>
      </c>
    </row>
    <row r="28" customFormat="false" ht="52.2" hidden="false" customHeight="false" outlineLevel="0" collapsed="false">
      <c r="A28" s="5" t="s">
        <v>335</v>
      </c>
      <c r="B28" s="5" t="s">
        <v>336</v>
      </c>
      <c r="C28" s="5" t="s">
        <v>337</v>
      </c>
      <c r="D28" s="5" t="s">
        <v>338</v>
      </c>
      <c r="E28" s="5" t="s">
        <v>208</v>
      </c>
      <c r="F28" s="5" t="s">
        <v>339</v>
      </c>
      <c r="G28" s="5" t="s">
        <v>340</v>
      </c>
      <c r="H28" s="14" t="s">
        <v>341</v>
      </c>
      <c r="I28" s="14" t="s">
        <v>342</v>
      </c>
      <c r="J28" s="5" t="s">
        <v>132</v>
      </c>
      <c r="K28" s="5" t="s">
        <v>155</v>
      </c>
      <c r="L28" s="5" t="s">
        <v>343</v>
      </c>
      <c r="M28" s="5" t="s">
        <v>344</v>
      </c>
      <c r="N28" s="5" t="n">
        <f aca="false">SUMIFS('Cuentas CRM y homologación'!$P$2:$P$22,'Cuentas CRM y homologación'!$W$2:$W$22,$A28)</f>
        <v>0</v>
      </c>
      <c r="O28" s="5" t="n">
        <f aca="false">SUMIFS('Cuentas CRM y homologación'!$Q$2:$Q$22,'Cuentas CRM y homologación'!$W$2:$W$22,$A28)</f>
        <v>0</v>
      </c>
      <c r="P28" s="5" t="n">
        <f aca="false">SUMIFS('Cuentas CRM y homologación'!$R$2:$R$22,'Cuentas CRM y homologación'!$W$2:$W$22,$A28)</f>
        <v>0</v>
      </c>
      <c r="Q28" s="5" t="n">
        <f aca="false">SUMIFS('Cuentas CRM y homologación'!$S$2:$S$22,'Cuentas CRM y homologación'!$W$2:$W$22,$A28)</f>
        <v>0</v>
      </c>
      <c r="R28" s="5" t="n">
        <f aca="false">SUMIFS('Cuentas CRM y homologación'!$T$2:$T$22,'Cuentas CRM y homologación'!$W$2:$W$22,$A28)</f>
        <v>0</v>
      </c>
      <c r="S28" s="5" t="s">
        <v>345</v>
      </c>
      <c r="T28" s="5" t="s">
        <v>137</v>
      </c>
    </row>
    <row r="29" customFormat="false" ht="39.55" hidden="false" customHeight="false" outlineLevel="0" collapsed="false">
      <c r="A29" s="5" t="s">
        <v>346</v>
      </c>
      <c r="B29" s="5" t="s">
        <v>336</v>
      </c>
      <c r="C29" s="5" t="s">
        <v>347</v>
      </c>
      <c r="D29" s="5" t="s">
        <v>348</v>
      </c>
      <c r="E29" s="5" t="s">
        <v>349</v>
      </c>
      <c r="F29" s="5" t="s">
        <v>350</v>
      </c>
      <c r="G29" s="5" t="s">
        <v>351</v>
      </c>
      <c r="H29" s="14" t="s">
        <v>352</v>
      </c>
      <c r="I29" s="14" t="s">
        <v>353</v>
      </c>
      <c r="J29" s="5" t="s">
        <v>132</v>
      </c>
      <c r="K29" s="5" t="s">
        <v>133</v>
      </c>
      <c r="L29" s="5" t="s">
        <v>354</v>
      </c>
      <c r="M29" s="5" t="s">
        <v>355</v>
      </c>
      <c r="N29" s="5" t="n">
        <f aca="false">SUMIFS('Cuentas CRM y homologación'!$P$2:$P$22,'Cuentas CRM y homologación'!$W$2:$W$22,$A29)</f>
        <v>0</v>
      </c>
      <c r="O29" s="5" t="n">
        <f aca="false">SUMIFS('Cuentas CRM y homologación'!$Q$2:$Q$22,'Cuentas CRM y homologación'!$W$2:$W$22,$A29)</f>
        <v>0</v>
      </c>
      <c r="P29" s="5" t="n">
        <f aca="false">SUMIFS('Cuentas CRM y homologación'!$R$2:$R$22,'Cuentas CRM y homologación'!$W$2:$W$22,$A29)</f>
        <v>0</v>
      </c>
      <c r="Q29" s="5" t="n">
        <f aca="false">SUMIFS('Cuentas CRM y homologación'!$S$2:$S$22,'Cuentas CRM y homologación'!$W$2:$W$22,$A29)</f>
        <v>0</v>
      </c>
      <c r="R29" s="5" t="n">
        <f aca="false">SUMIFS('Cuentas CRM y homologación'!$T$2:$T$22,'Cuentas CRM y homologación'!$W$2:$W$22,$A29)</f>
        <v>0</v>
      </c>
      <c r="S29" s="5" t="s">
        <v>356</v>
      </c>
      <c r="T29" s="5" t="s">
        <v>137</v>
      </c>
    </row>
    <row r="30" customFormat="false" ht="26.85" hidden="false" customHeight="false" outlineLevel="0" collapsed="false">
      <c r="A30" s="5" t="s">
        <v>357</v>
      </c>
      <c r="B30" s="5" t="s">
        <v>336</v>
      </c>
      <c r="C30" s="5" t="s">
        <v>358</v>
      </c>
      <c r="D30" s="5" t="s">
        <v>359</v>
      </c>
      <c r="E30" s="5" t="s">
        <v>236</v>
      </c>
      <c r="F30" s="5" t="s">
        <v>360</v>
      </c>
      <c r="G30" s="5" t="s">
        <v>361</v>
      </c>
      <c r="H30" s="14" t="s">
        <v>352</v>
      </c>
      <c r="I30" s="14" t="s">
        <v>353</v>
      </c>
      <c r="J30" s="5" t="s">
        <v>132</v>
      </c>
      <c r="K30" s="5" t="s">
        <v>166</v>
      </c>
      <c r="L30" s="5" t="s">
        <v>137</v>
      </c>
      <c r="M30" s="5" t="s">
        <v>362</v>
      </c>
      <c r="N30" s="5" t="n">
        <f aca="false">SUMIFS('Cuentas CRM y homologación'!$P$2:$P$22,'Cuentas CRM y homologación'!$W$2:$W$22,$A30)</f>
        <v>0</v>
      </c>
      <c r="O30" s="5" t="n">
        <f aca="false">SUMIFS('Cuentas CRM y homologación'!$Q$2:$Q$22,'Cuentas CRM y homologación'!$W$2:$W$22,$A30)</f>
        <v>0</v>
      </c>
      <c r="P30" s="5" t="n">
        <f aca="false">SUMIFS('Cuentas CRM y homologación'!$R$2:$R$22,'Cuentas CRM y homologación'!$W$2:$W$22,$A30)</f>
        <v>0</v>
      </c>
      <c r="Q30" s="5" t="n">
        <f aca="false">SUMIFS('Cuentas CRM y homologación'!$S$2:$S$22,'Cuentas CRM y homologación'!$W$2:$W$22,$A30)</f>
        <v>0</v>
      </c>
      <c r="R30" s="5" t="n">
        <f aca="false">SUMIFS('Cuentas CRM y homologación'!$T$2:$T$22,'Cuentas CRM y homologación'!$W$2:$W$22,$A30)</f>
        <v>0</v>
      </c>
      <c r="S30" s="5" t="s">
        <v>363</v>
      </c>
      <c r="T30" s="5" t="s">
        <v>169</v>
      </c>
    </row>
    <row r="31" customFormat="false" ht="52.2" hidden="false" customHeight="false" outlineLevel="0" collapsed="false">
      <c r="A31" s="5" t="s">
        <v>364</v>
      </c>
      <c r="B31" s="5" t="s">
        <v>336</v>
      </c>
      <c r="C31" s="5" t="s">
        <v>365</v>
      </c>
      <c r="D31" s="5" t="s">
        <v>366</v>
      </c>
      <c r="E31" s="5" t="s">
        <v>184</v>
      </c>
      <c r="F31" s="5" t="s">
        <v>143</v>
      </c>
      <c r="G31" s="5" t="s">
        <v>129</v>
      </c>
      <c r="H31" s="14" t="s">
        <v>367</v>
      </c>
      <c r="I31" s="14" t="s">
        <v>368</v>
      </c>
      <c r="J31" s="5" t="s">
        <v>132</v>
      </c>
      <c r="K31" s="5" t="s">
        <v>166</v>
      </c>
      <c r="L31" s="5" t="s">
        <v>137</v>
      </c>
      <c r="M31" s="5" t="s">
        <v>369</v>
      </c>
      <c r="N31" s="5" t="n">
        <f aca="false">SUMIFS('Cuentas CRM y homologación'!$P$2:$P$22,'Cuentas CRM y homologación'!$W$2:$W$22,$A31)</f>
        <v>0</v>
      </c>
      <c r="O31" s="5" t="n">
        <f aca="false">SUMIFS('Cuentas CRM y homologación'!$Q$2:$Q$22,'Cuentas CRM y homologación'!$W$2:$W$22,$A31)</f>
        <v>0</v>
      </c>
      <c r="P31" s="5" t="n">
        <f aca="false">SUMIFS('Cuentas CRM y homologación'!$R$2:$R$22,'Cuentas CRM y homologación'!$W$2:$W$22,$A31)</f>
        <v>0</v>
      </c>
      <c r="Q31" s="5" t="n">
        <f aca="false">SUMIFS('Cuentas CRM y homologación'!$S$2:$S$22,'Cuentas CRM y homologación'!$W$2:$W$22,$A31)</f>
        <v>0</v>
      </c>
      <c r="R31" s="5" t="n">
        <f aca="false">SUMIFS('Cuentas CRM y homologación'!$T$2:$T$22,'Cuentas CRM y homologación'!$W$2:$W$22,$A31)</f>
        <v>0</v>
      </c>
      <c r="S31" s="5" t="s">
        <v>370</v>
      </c>
      <c r="T31" s="5" t="s">
        <v>169</v>
      </c>
    </row>
    <row r="32" customFormat="false" ht="26.85" hidden="false" customHeight="false" outlineLevel="0" collapsed="false">
      <c r="A32" s="5" t="s">
        <v>371</v>
      </c>
      <c r="B32" s="5" t="s">
        <v>336</v>
      </c>
      <c r="C32" s="5" t="s">
        <v>372</v>
      </c>
      <c r="D32" s="5" t="s">
        <v>329</v>
      </c>
      <c r="E32" s="5" t="s">
        <v>330</v>
      </c>
      <c r="F32" s="5" t="s">
        <v>143</v>
      </c>
      <c r="G32" s="5" t="s">
        <v>129</v>
      </c>
      <c r="H32" s="14" t="s">
        <v>373</v>
      </c>
      <c r="I32" s="14" t="s">
        <v>353</v>
      </c>
      <c r="J32" s="5" t="s">
        <v>177</v>
      </c>
      <c r="K32" s="5" t="s">
        <v>166</v>
      </c>
      <c r="L32" s="5" t="s">
        <v>137</v>
      </c>
      <c r="M32" s="5" t="s">
        <v>374</v>
      </c>
      <c r="N32" s="5" t="n">
        <f aca="false">SUMIFS('Cuentas CRM y homologación'!$P$2:$P$22,'Cuentas CRM y homologación'!$W$2:$W$22,$A32)</f>
        <v>0</v>
      </c>
      <c r="O32" s="5" t="n">
        <f aca="false">SUMIFS('Cuentas CRM y homologación'!$Q$2:$Q$22,'Cuentas CRM y homologación'!$W$2:$W$22,$A32)</f>
        <v>0</v>
      </c>
      <c r="P32" s="5" t="n">
        <f aca="false">SUMIFS('Cuentas CRM y homologación'!$R$2:$R$22,'Cuentas CRM y homologación'!$W$2:$W$22,$A32)</f>
        <v>0</v>
      </c>
      <c r="Q32" s="5" t="n">
        <f aca="false">SUMIFS('Cuentas CRM y homologación'!$S$2:$S$22,'Cuentas CRM y homologación'!$W$2:$W$22,$A32)</f>
        <v>0</v>
      </c>
      <c r="R32" s="5" t="n">
        <f aca="false">SUMIFS('Cuentas CRM y homologación'!$T$2:$T$22,'Cuentas CRM y homologación'!$W$2:$W$22,$A32)</f>
        <v>0</v>
      </c>
      <c r="S32" s="5" t="s">
        <v>375</v>
      </c>
      <c r="T32" s="5" t="s">
        <v>307</v>
      </c>
    </row>
    <row r="33" customFormat="false" ht="28.35" hidden="false" customHeight="false" outlineLevel="0" collapsed="false">
      <c r="A33" s="5" t="s">
        <v>376</v>
      </c>
      <c r="B33" s="5" t="s">
        <v>377</v>
      </c>
      <c r="C33" s="5" t="s">
        <v>378</v>
      </c>
      <c r="D33" s="5" t="s">
        <v>359</v>
      </c>
      <c r="E33" s="5" t="s">
        <v>236</v>
      </c>
      <c r="F33" s="5" t="s">
        <v>379</v>
      </c>
      <c r="G33" s="5" t="s">
        <v>129</v>
      </c>
      <c r="H33" s="14" t="s">
        <v>380</v>
      </c>
      <c r="I33" s="14" t="s">
        <v>381</v>
      </c>
      <c r="J33" s="5" t="s">
        <v>177</v>
      </c>
      <c r="K33" s="5" t="s">
        <v>166</v>
      </c>
      <c r="L33" s="5" t="s">
        <v>137</v>
      </c>
      <c r="M33" s="5" t="s">
        <v>362</v>
      </c>
      <c r="N33" s="5" t="n">
        <f aca="false">SUMIFS('Cuentas CRM y homologación'!$P$2:$P$22,'Cuentas CRM y homologación'!$W$2:$W$22,$A33)</f>
        <v>0</v>
      </c>
      <c r="O33" s="5" t="n">
        <f aca="false">SUMIFS('Cuentas CRM y homologación'!$Q$2:$Q$22,'Cuentas CRM y homologación'!$W$2:$W$22,$A33)</f>
        <v>0</v>
      </c>
      <c r="P33" s="5" t="n">
        <f aca="false">SUMIFS('Cuentas CRM y homologación'!$R$2:$R$22,'Cuentas CRM y homologación'!$W$2:$W$22,$A33)</f>
        <v>0</v>
      </c>
      <c r="Q33" s="5" t="n">
        <f aca="false">SUMIFS('Cuentas CRM y homologación'!$S$2:$S$22,'Cuentas CRM y homologación'!$W$2:$W$22,$A33)</f>
        <v>0</v>
      </c>
      <c r="R33" s="5" t="n">
        <f aca="false">SUMIFS('Cuentas CRM y homologación'!$T$2:$T$22,'Cuentas CRM y homologación'!$W$2:$W$22,$A33)</f>
        <v>0</v>
      </c>
      <c r="S33" s="5" t="s">
        <v>382</v>
      </c>
      <c r="T33" s="5" t="s">
        <v>307</v>
      </c>
    </row>
    <row r="34" customFormat="false" ht="26.85" hidden="false" customHeight="false" outlineLevel="0" collapsed="false">
      <c r="A34" s="5" t="s">
        <v>383</v>
      </c>
      <c r="B34" s="5" t="s">
        <v>377</v>
      </c>
      <c r="C34" s="5" t="s">
        <v>384</v>
      </c>
      <c r="D34" s="5" t="s">
        <v>126</v>
      </c>
      <c r="E34" s="5" t="s">
        <v>127</v>
      </c>
      <c r="F34" s="5" t="s">
        <v>143</v>
      </c>
      <c r="G34" s="5" t="s">
        <v>129</v>
      </c>
      <c r="H34" s="14" t="s">
        <v>385</v>
      </c>
      <c r="I34" s="14" t="s">
        <v>129</v>
      </c>
      <c r="J34" s="5" t="s">
        <v>177</v>
      </c>
      <c r="K34" s="5" t="s">
        <v>166</v>
      </c>
      <c r="L34" s="5" t="s">
        <v>137</v>
      </c>
      <c r="M34" s="5" t="s">
        <v>386</v>
      </c>
      <c r="N34" s="5" t="n">
        <f aca="false">SUMIFS('Cuentas CRM y homologación'!$P$2:$P$22,'Cuentas CRM y homologación'!$W$2:$W$22,$A34)</f>
        <v>0</v>
      </c>
      <c r="O34" s="5" t="n">
        <f aca="false">SUMIFS('Cuentas CRM y homologación'!$Q$2:$Q$22,'Cuentas CRM y homologación'!$W$2:$W$22,$A34)</f>
        <v>0</v>
      </c>
      <c r="P34" s="5" t="n">
        <f aca="false">SUMIFS('Cuentas CRM y homologación'!$R$2:$R$22,'Cuentas CRM y homologación'!$W$2:$W$22,$A34)</f>
        <v>0</v>
      </c>
      <c r="Q34" s="5" t="n">
        <f aca="false">SUMIFS('Cuentas CRM y homologación'!$S$2:$S$22,'Cuentas CRM y homologación'!$W$2:$W$22,$A34)</f>
        <v>0</v>
      </c>
      <c r="R34" s="5" t="n">
        <f aca="false">SUMIFS('Cuentas CRM y homologación'!$T$2:$T$22,'Cuentas CRM y homologación'!$W$2:$W$22,$A34)</f>
        <v>0</v>
      </c>
      <c r="S34" s="5" t="s">
        <v>387</v>
      </c>
      <c r="T34" s="5" t="s">
        <v>307</v>
      </c>
    </row>
    <row r="35" customFormat="false" ht="37.3" hidden="false" customHeight="false" outlineLevel="0" collapsed="false">
      <c r="A35" s="5" t="s">
        <v>388</v>
      </c>
      <c r="B35" s="5" t="s">
        <v>377</v>
      </c>
      <c r="C35" s="5" t="s">
        <v>389</v>
      </c>
      <c r="D35" s="5" t="s">
        <v>390</v>
      </c>
      <c r="E35" s="5" t="s">
        <v>208</v>
      </c>
      <c r="F35" s="5" t="s">
        <v>143</v>
      </c>
      <c r="G35" s="5" t="s">
        <v>129</v>
      </c>
      <c r="H35" s="14" t="s">
        <v>391</v>
      </c>
      <c r="I35" s="14" t="s">
        <v>392</v>
      </c>
      <c r="J35" s="5" t="s">
        <v>177</v>
      </c>
      <c r="K35" s="5" t="s">
        <v>166</v>
      </c>
      <c r="L35" s="5" t="s">
        <v>137</v>
      </c>
      <c r="M35" s="5" t="s">
        <v>393</v>
      </c>
      <c r="N35" s="5" t="n">
        <f aca="false">SUMIFS('Cuentas CRM y homologación'!$P$2:$P$22,'Cuentas CRM y homologación'!$W$2:$W$22,$A35)</f>
        <v>0</v>
      </c>
      <c r="O35" s="5" t="n">
        <f aca="false">SUMIFS('Cuentas CRM y homologación'!$Q$2:$Q$22,'Cuentas CRM y homologación'!$W$2:$W$22,$A35)</f>
        <v>0</v>
      </c>
      <c r="P35" s="5" t="n">
        <f aca="false">SUMIFS('Cuentas CRM y homologación'!$R$2:$R$22,'Cuentas CRM y homologación'!$W$2:$W$22,$A35)</f>
        <v>0</v>
      </c>
      <c r="Q35" s="5" t="n">
        <f aca="false">SUMIFS('Cuentas CRM y homologación'!$S$2:$S$22,'Cuentas CRM y homologación'!$W$2:$W$22,$A35)</f>
        <v>0</v>
      </c>
      <c r="R35" s="5" t="n">
        <f aca="false">SUMIFS('Cuentas CRM y homologación'!$T$2:$T$22,'Cuentas CRM y homologación'!$W$2:$W$22,$A35)</f>
        <v>0</v>
      </c>
      <c r="S35" s="5" t="s">
        <v>394</v>
      </c>
      <c r="T35" s="5" t="s">
        <v>395</v>
      </c>
    </row>
    <row r="36" customFormat="false" ht="52.2" hidden="false" customHeight="false" outlineLevel="0" collapsed="false">
      <c r="A36" s="5" t="s">
        <v>396</v>
      </c>
      <c r="B36" s="5" t="s">
        <v>397</v>
      </c>
      <c r="C36" s="5" t="s">
        <v>398</v>
      </c>
      <c r="D36" s="5" t="s">
        <v>399</v>
      </c>
      <c r="E36" s="5" t="s">
        <v>200</v>
      </c>
      <c r="F36" s="5" t="s">
        <v>400</v>
      </c>
      <c r="G36" s="5" t="s">
        <v>129</v>
      </c>
      <c r="H36" s="14" t="s">
        <v>401</v>
      </c>
      <c r="I36" s="14" t="s">
        <v>402</v>
      </c>
      <c r="J36" s="5" t="s">
        <v>132</v>
      </c>
      <c r="K36" s="5" t="s">
        <v>166</v>
      </c>
      <c r="L36" s="5" t="s">
        <v>137</v>
      </c>
      <c r="M36" s="5" t="s">
        <v>403</v>
      </c>
      <c r="N36" s="5" t="n">
        <f aca="false">SUMIFS('Cuentas CRM y homologación'!$P$2:$P$22,'Cuentas CRM y homologación'!$W$2:$W$22,$A36)</f>
        <v>0</v>
      </c>
      <c r="O36" s="5" t="n">
        <f aca="false">SUMIFS('Cuentas CRM y homologación'!$Q$2:$Q$22,'Cuentas CRM y homologación'!$W$2:$W$22,$A36)</f>
        <v>0</v>
      </c>
      <c r="P36" s="5" t="n">
        <f aca="false">SUMIFS('Cuentas CRM y homologación'!$R$2:$R$22,'Cuentas CRM y homologación'!$W$2:$W$22,$A36)</f>
        <v>0</v>
      </c>
      <c r="Q36" s="5" t="n">
        <f aca="false">SUMIFS('Cuentas CRM y homologación'!$S$2:$S$22,'Cuentas CRM y homologación'!$W$2:$W$22,$A36)</f>
        <v>0</v>
      </c>
      <c r="R36" s="5" t="n">
        <f aca="false">SUMIFS('Cuentas CRM y homologación'!$T$2:$T$22,'Cuentas CRM y homologación'!$W$2:$W$22,$A36)</f>
        <v>0</v>
      </c>
      <c r="S36" s="5" t="s">
        <v>404</v>
      </c>
      <c r="T36" s="5" t="s">
        <v>169</v>
      </c>
    </row>
    <row r="37" customFormat="false" ht="39.55" hidden="false" customHeight="false" outlineLevel="0" collapsed="false">
      <c r="A37" s="5" t="s">
        <v>405</v>
      </c>
      <c r="B37" s="5" t="s">
        <v>397</v>
      </c>
      <c r="C37" s="5" t="s">
        <v>406</v>
      </c>
      <c r="D37" s="5" t="s">
        <v>407</v>
      </c>
      <c r="E37" s="5" t="s">
        <v>408</v>
      </c>
      <c r="F37" s="5" t="s">
        <v>143</v>
      </c>
      <c r="G37" s="5" t="s">
        <v>129</v>
      </c>
      <c r="H37" s="14" t="s">
        <v>409</v>
      </c>
      <c r="I37" s="14" t="s">
        <v>410</v>
      </c>
      <c r="J37" s="5" t="s">
        <v>177</v>
      </c>
      <c r="K37" s="5" t="s">
        <v>166</v>
      </c>
      <c r="L37" s="5" t="s">
        <v>137</v>
      </c>
      <c r="M37" s="5" t="s">
        <v>411</v>
      </c>
      <c r="N37" s="5" t="n">
        <f aca="false">SUMIFS('Cuentas CRM y homologación'!$P$2:$P$22,'Cuentas CRM y homologación'!$W$2:$W$22,$A37)</f>
        <v>0</v>
      </c>
      <c r="O37" s="5" t="n">
        <f aca="false">SUMIFS('Cuentas CRM y homologación'!$Q$2:$Q$22,'Cuentas CRM y homologación'!$W$2:$W$22,$A37)</f>
        <v>0</v>
      </c>
      <c r="P37" s="5" t="n">
        <f aca="false">SUMIFS('Cuentas CRM y homologación'!$R$2:$R$22,'Cuentas CRM y homologación'!$W$2:$W$22,$A37)</f>
        <v>0</v>
      </c>
      <c r="Q37" s="5" t="n">
        <f aca="false">SUMIFS('Cuentas CRM y homologación'!$S$2:$S$22,'Cuentas CRM y homologación'!$W$2:$W$22,$A37)</f>
        <v>0</v>
      </c>
      <c r="R37" s="5" t="n">
        <f aca="false">SUMIFS('Cuentas CRM y homologación'!$T$2:$T$22,'Cuentas CRM y homologación'!$W$2:$W$22,$A37)</f>
        <v>0</v>
      </c>
      <c r="S37" s="5" t="s">
        <v>412</v>
      </c>
      <c r="T37" s="5" t="s">
        <v>307</v>
      </c>
    </row>
    <row r="38" customFormat="false" ht="37.3" hidden="false" customHeight="false" outlineLevel="0" collapsed="false">
      <c r="A38" s="5" t="s">
        <v>413</v>
      </c>
      <c r="B38" s="5" t="s">
        <v>414</v>
      </c>
      <c r="C38" s="5" t="s">
        <v>415</v>
      </c>
      <c r="D38" s="5" t="s">
        <v>416</v>
      </c>
      <c r="E38" s="5" t="s">
        <v>208</v>
      </c>
      <c r="F38" s="5" t="s">
        <v>417</v>
      </c>
      <c r="G38" s="5" t="s">
        <v>418</v>
      </c>
      <c r="H38" s="14" t="s">
        <v>419</v>
      </c>
      <c r="I38" s="14" t="s">
        <v>420</v>
      </c>
      <c r="J38" s="5" t="s">
        <v>177</v>
      </c>
      <c r="K38" s="5" t="s">
        <v>166</v>
      </c>
      <c r="L38" s="5" t="s">
        <v>137</v>
      </c>
      <c r="M38" s="5" t="s">
        <v>421</v>
      </c>
      <c r="N38" s="5" t="n">
        <f aca="false">SUMIFS('Cuentas CRM y homologación'!$P$2:$P$22,'Cuentas CRM y homologación'!$W$2:$W$22,$A38)</f>
        <v>0</v>
      </c>
      <c r="O38" s="5" t="n">
        <f aca="false">SUMIFS('Cuentas CRM y homologación'!$Q$2:$Q$22,'Cuentas CRM y homologación'!$W$2:$W$22,$A38)</f>
        <v>0</v>
      </c>
      <c r="P38" s="5" t="n">
        <f aca="false">SUMIFS('Cuentas CRM y homologación'!$R$2:$R$22,'Cuentas CRM y homologación'!$W$2:$W$22,$A38)</f>
        <v>0</v>
      </c>
      <c r="Q38" s="5" t="n">
        <f aca="false">SUMIFS('Cuentas CRM y homologación'!$S$2:$S$22,'Cuentas CRM y homologación'!$W$2:$W$22,$A38)</f>
        <v>0</v>
      </c>
      <c r="R38" s="5" t="n">
        <f aca="false">SUMIFS('Cuentas CRM y homologación'!$T$2:$T$22,'Cuentas CRM y homologación'!$W$2:$W$22,$A38)</f>
        <v>0</v>
      </c>
      <c r="S38" s="5" t="s">
        <v>422</v>
      </c>
      <c r="T38" s="5" t="s">
        <v>307</v>
      </c>
    </row>
    <row r="39" customFormat="false" ht="28.35" hidden="false" customHeight="false" outlineLevel="0" collapsed="false">
      <c r="A39" s="5" t="s">
        <v>423</v>
      </c>
      <c r="B39" s="5" t="s">
        <v>424</v>
      </c>
      <c r="C39" s="5" t="s">
        <v>425</v>
      </c>
      <c r="D39" s="5" t="s">
        <v>426</v>
      </c>
      <c r="E39" s="5" t="s">
        <v>208</v>
      </c>
      <c r="F39" s="5" t="s">
        <v>143</v>
      </c>
      <c r="G39" s="5" t="s">
        <v>129</v>
      </c>
      <c r="H39" s="14" t="s">
        <v>427</v>
      </c>
      <c r="I39" s="14" t="s">
        <v>428</v>
      </c>
      <c r="J39" s="5" t="s">
        <v>177</v>
      </c>
      <c r="K39" s="5" t="s">
        <v>166</v>
      </c>
      <c r="L39" s="5" t="s">
        <v>137</v>
      </c>
      <c r="M39" s="5" t="s">
        <v>429</v>
      </c>
      <c r="N39" s="5" t="n">
        <f aca="false">SUMIFS('Cuentas CRM y homologación'!$P$2:$P$22,'Cuentas CRM y homologación'!$W$2:$W$22,$A39)</f>
        <v>0</v>
      </c>
      <c r="O39" s="5" t="n">
        <f aca="false">SUMIFS('Cuentas CRM y homologación'!$Q$2:$Q$22,'Cuentas CRM y homologación'!$W$2:$W$22,$A39)</f>
        <v>0</v>
      </c>
      <c r="P39" s="5" t="n">
        <f aca="false">SUMIFS('Cuentas CRM y homologación'!$R$2:$R$22,'Cuentas CRM y homologación'!$W$2:$W$22,$A39)</f>
        <v>0</v>
      </c>
      <c r="Q39" s="5" t="n">
        <f aca="false">SUMIFS('Cuentas CRM y homologación'!$S$2:$S$22,'Cuentas CRM y homologación'!$W$2:$W$22,$A39)</f>
        <v>0</v>
      </c>
      <c r="R39" s="5" t="n">
        <f aca="false">SUMIFS('Cuentas CRM y homologación'!$T$2:$T$22,'Cuentas CRM y homologación'!$W$2:$W$22,$A39)</f>
        <v>0</v>
      </c>
      <c r="S39" s="5" t="s">
        <v>430</v>
      </c>
      <c r="T39" s="5" t="s">
        <v>431</v>
      </c>
    </row>
    <row r="40" customFormat="false" ht="39.55" hidden="false" customHeight="false" outlineLevel="0" collapsed="false">
      <c r="A40" s="5" t="s">
        <v>432</v>
      </c>
      <c r="B40" s="5" t="s">
        <v>433</v>
      </c>
      <c r="C40" s="5" t="s">
        <v>434</v>
      </c>
      <c r="D40" s="5" t="s">
        <v>435</v>
      </c>
      <c r="E40" s="5" t="s">
        <v>227</v>
      </c>
      <c r="F40" s="5" t="s">
        <v>143</v>
      </c>
      <c r="G40" s="5" t="s">
        <v>129</v>
      </c>
      <c r="H40" s="14" t="s">
        <v>436</v>
      </c>
      <c r="I40" s="14" t="s">
        <v>437</v>
      </c>
      <c r="J40" s="5" t="s">
        <v>132</v>
      </c>
      <c r="K40" s="5" t="s">
        <v>155</v>
      </c>
      <c r="L40" s="5" t="s">
        <v>438</v>
      </c>
      <c r="M40" s="5" t="s">
        <v>439</v>
      </c>
      <c r="N40" s="5" t="n">
        <f aca="false">SUMIFS('Cuentas CRM y homologación'!$P$2:$P$22,'Cuentas CRM y homologación'!$W$2:$W$22,$A40)</f>
        <v>0</v>
      </c>
      <c r="O40" s="5" t="n">
        <f aca="false">SUMIFS('Cuentas CRM y homologación'!$Q$2:$Q$22,'Cuentas CRM y homologación'!$W$2:$W$22,$A40)</f>
        <v>2</v>
      </c>
      <c r="P40" s="5" t="n">
        <f aca="false">SUMIFS('Cuentas CRM y homologación'!$R$2:$R$22,'Cuentas CRM y homologación'!$W$2:$W$22,$A40)</f>
        <v>0</v>
      </c>
      <c r="Q40" s="5" t="n">
        <f aca="false">SUMIFS('Cuentas CRM y homologación'!$S$2:$S$22,'Cuentas CRM y homologación'!$W$2:$W$22,$A40)</f>
        <v>0</v>
      </c>
      <c r="R40" s="5" t="n">
        <f aca="false">SUMIFS('Cuentas CRM y homologación'!$T$2:$T$22,'Cuentas CRM y homologación'!$W$2:$W$22,$A40)</f>
        <v>1</v>
      </c>
      <c r="S40" s="5" t="s">
        <v>440</v>
      </c>
      <c r="T40" s="5" t="s">
        <v>137</v>
      </c>
    </row>
    <row r="41" customFormat="false" ht="26.85" hidden="false" customHeight="false" outlineLevel="0" collapsed="false">
      <c r="A41" s="5" t="s">
        <v>441</v>
      </c>
      <c r="B41" s="5" t="s">
        <v>433</v>
      </c>
      <c r="C41" s="5" t="s">
        <v>442</v>
      </c>
      <c r="D41" s="5" t="s">
        <v>443</v>
      </c>
      <c r="E41" s="5" t="s">
        <v>444</v>
      </c>
      <c r="F41" s="5" t="s">
        <v>143</v>
      </c>
      <c r="G41" s="5" t="s">
        <v>129</v>
      </c>
      <c r="H41" s="14" t="s">
        <v>445</v>
      </c>
      <c r="I41" s="14" t="s">
        <v>446</v>
      </c>
      <c r="J41" s="5" t="s">
        <v>177</v>
      </c>
      <c r="K41" s="5" t="s">
        <v>166</v>
      </c>
      <c r="L41" s="5" t="s">
        <v>137</v>
      </c>
      <c r="M41" s="5" t="s">
        <v>447</v>
      </c>
      <c r="N41" s="5" t="n">
        <f aca="false">SUMIFS('Cuentas CRM y homologación'!$P$2:$P$22,'Cuentas CRM y homologación'!$W$2:$W$22,$A41)</f>
        <v>0</v>
      </c>
      <c r="O41" s="5" t="n">
        <f aca="false">SUMIFS('Cuentas CRM y homologación'!$Q$2:$Q$22,'Cuentas CRM y homologación'!$W$2:$W$22,$A41)</f>
        <v>0</v>
      </c>
      <c r="P41" s="5" t="n">
        <f aca="false">SUMIFS('Cuentas CRM y homologación'!$R$2:$R$22,'Cuentas CRM y homologación'!$W$2:$W$22,$A41)</f>
        <v>0</v>
      </c>
      <c r="Q41" s="5" t="n">
        <f aca="false">SUMIFS('Cuentas CRM y homologación'!$S$2:$S$22,'Cuentas CRM y homologación'!$W$2:$W$22,$A41)</f>
        <v>0</v>
      </c>
      <c r="R41" s="5" t="n">
        <f aca="false">SUMIFS('Cuentas CRM y homologación'!$T$2:$T$22,'Cuentas CRM y homologación'!$W$2:$W$22,$A41)</f>
        <v>0</v>
      </c>
      <c r="S41" s="5" t="s">
        <v>448</v>
      </c>
      <c r="T41" s="5" t="s">
        <v>448</v>
      </c>
    </row>
    <row r="42" customFormat="false" ht="39.55" hidden="false" customHeight="false" outlineLevel="0" collapsed="false">
      <c r="A42" s="5" t="s">
        <v>449</v>
      </c>
      <c r="B42" s="5" t="s">
        <v>433</v>
      </c>
      <c r="C42" s="5" t="s">
        <v>450</v>
      </c>
      <c r="D42" s="5" t="s">
        <v>143</v>
      </c>
      <c r="E42" s="5" t="s">
        <v>451</v>
      </c>
      <c r="F42" s="5" t="s">
        <v>143</v>
      </c>
      <c r="G42" s="5" t="s">
        <v>129</v>
      </c>
      <c r="H42" s="14" t="s">
        <v>452</v>
      </c>
      <c r="I42" s="14" t="s">
        <v>453</v>
      </c>
      <c r="J42" s="5" t="s">
        <v>132</v>
      </c>
      <c r="K42" s="5" t="s">
        <v>166</v>
      </c>
      <c r="L42" s="5" t="s">
        <v>137</v>
      </c>
      <c r="M42" s="5" t="s">
        <v>454</v>
      </c>
      <c r="N42" s="5" t="n">
        <f aca="false">SUMIFS('Cuentas CRM y homologación'!$P$2:$P$22,'Cuentas CRM y homologación'!$W$2:$W$22,$A42)</f>
        <v>0</v>
      </c>
      <c r="O42" s="5" t="n">
        <f aca="false">SUMIFS('Cuentas CRM y homologación'!$Q$2:$Q$22,'Cuentas CRM y homologación'!$W$2:$W$22,$A42)</f>
        <v>0</v>
      </c>
      <c r="P42" s="5" t="n">
        <f aca="false">SUMIFS('Cuentas CRM y homologación'!$R$2:$R$22,'Cuentas CRM y homologación'!$W$2:$W$22,$A42)</f>
        <v>0</v>
      </c>
      <c r="Q42" s="5" t="n">
        <f aca="false">SUMIFS('Cuentas CRM y homologación'!$S$2:$S$22,'Cuentas CRM y homologación'!$W$2:$W$22,$A42)</f>
        <v>0</v>
      </c>
      <c r="R42" s="5" t="n">
        <f aca="false">SUMIFS('Cuentas CRM y homologación'!$T$2:$T$22,'Cuentas CRM y homologación'!$W$2:$W$22,$A42)</f>
        <v>0</v>
      </c>
      <c r="S42" s="5" t="s">
        <v>455</v>
      </c>
      <c r="T42" s="5" t="s">
        <v>169</v>
      </c>
    </row>
    <row r="43" customFormat="false" ht="39.55" hidden="false" customHeight="false" outlineLevel="0" collapsed="false">
      <c r="A43" s="5" t="s">
        <v>456</v>
      </c>
      <c r="B43" s="5" t="s">
        <v>457</v>
      </c>
      <c r="C43" s="5" t="s">
        <v>458</v>
      </c>
      <c r="D43" s="5" t="s">
        <v>143</v>
      </c>
      <c r="E43" s="5" t="s">
        <v>143</v>
      </c>
      <c r="F43" s="5" t="s">
        <v>143</v>
      </c>
      <c r="G43" s="5" t="s">
        <v>129</v>
      </c>
      <c r="H43" s="14" t="s">
        <v>459</v>
      </c>
      <c r="I43" s="14" t="s">
        <v>460</v>
      </c>
      <c r="J43" s="5" t="s">
        <v>219</v>
      </c>
      <c r="K43" s="5" t="s">
        <v>166</v>
      </c>
      <c r="L43" s="5" t="s">
        <v>137</v>
      </c>
      <c r="M43" s="5" t="s">
        <v>461</v>
      </c>
      <c r="N43" s="5" t="n">
        <f aca="false">SUMIFS('Cuentas CRM y homologación'!$P$2:$P$22,'Cuentas CRM y homologación'!$W$2:$W$22,$A43)</f>
        <v>0</v>
      </c>
      <c r="O43" s="5" t="n">
        <f aca="false">SUMIFS('Cuentas CRM y homologación'!$Q$2:$Q$22,'Cuentas CRM y homologación'!$W$2:$W$22,$A43)</f>
        <v>0</v>
      </c>
      <c r="P43" s="5" t="n">
        <f aca="false">SUMIFS('Cuentas CRM y homologación'!$R$2:$R$22,'Cuentas CRM y homologación'!$W$2:$W$22,$A43)</f>
        <v>0</v>
      </c>
      <c r="Q43" s="5" t="n">
        <f aca="false">SUMIFS('Cuentas CRM y homologación'!$S$2:$S$22,'Cuentas CRM y homologación'!$W$2:$W$22,$A43)</f>
        <v>0</v>
      </c>
      <c r="R43" s="5" t="n">
        <f aca="false">SUMIFS('Cuentas CRM y homologación'!$T$2:$T$22,'Cuentas CRM y homologación'!$W$2:$W$22,$A43)</f>
        <v>0</v>
      </c>
      <c r="S43" s="5" t="s">
        <v>462</v>
      </c>
      <c r="T43" s="5" t="s">
        <v>463</v>
      </c>
    </row>
  </sheetData>
  <autoFilter ref="A1:T43"/>
  <conditionalFormatting sqref="K2:K43">
    <cfRule type="expression" priority="2" aboveAverage="0" equalAverage="0" bottom="0" percent="0" rank="0" text="" dxfId="9">
      <formula>LEFT(K2,2)="Sí"</formula>
    </cfRule>
    <cfRule type="expression" priority="3" aboveAverage="0" equalAverage="0" bottom="0" percent="0" rank="0" text="" dxfId="10">
      <formula>K2="No"</formula>
    </cfRule>
    <cfRule type="expression" priority="4" aboveAverage="0" equalAverage="0" bottom="0" percent="0" rank="0" text="" dxfId="11">
      <formula>LEFT(K2,3)="Por"</formula>
    </cfRule>
    <cfRule type="expression" priority="5" aboveAverage="0" equalAverage="0" bottom="0" percent="0" rank="0" text="" dxfId="12">
      <formula>LEFT(K2,5)="Mismo"</formula>
    </cfRule>
    <cfRule type="expression" priority="6" aboveAverage="0" equalAverage="0" bottom="0" percent="0" rank="0" text="" dxfId="13">
      <formula>LEFT(K2,8)="No aplic"</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A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20"/>
    <col collapsed="false" customWidth="true" hidden="false" outlineLevel="0" max="4" min="4" style="0" width="16"/>
    <col collapsed="false" customWidth="true" hidden="false" outlineLevel="0" max="5" min="5" style="0" width="24"/>
    <col collapsed="false" customWidth="true" hidden="false" outlineLevel="0" max="6" min="6" style="0" width="48"/>
    <col collapsed="false" customWidth="true" hidden="false" outlineLevel="0" max="7" min="7" style="0" width="24"/>
    <col collapsed="false" customWidth="true" hidden="false" outlineLevel="0" max="8" min="8" style="0" width="30"/>
    <col collapsed="false" customWidth="true" hidden="false" outlineLevel="0" max="9" min="9" style="0" width="18"/>
    <col collapsed="false" customWidth="true" hidden="false" outlineLevel="0" max="10" min="10" style="0" width="16"/>
    <col collapsed="false" customWidth="true" hidden="false" outlineLevel="0" max="11" min="11" style="0" width="24"/>
    <col collapsed="false" customWidth="true" hidden="false" outlineLevel="0" max="12" min="12" style="0" width="12"/>
    <col collapsed="false" customWidth="true" hidden="false" outlineLevel="0" max="13" min="13" style="0" width="16"/>
    <col collapsed="false" customWidth="true" hidden="false" outlineLevel="0" max="14" min="14" style="0" width="22"/>
    <col collapsed="false" customWidth="true" hidden="false" outlineLevel="0" max="15" min="15" style="0" width="12"/>
    <col collapsed="false" customWidth="true" hidden="false" outlineLevel="0" max="18" min="16" style="0" width="9"/>
    <col collapsed="false" customWidth="true" hidden="false" outlineLevel="0" max="20" min="19" style="0" width="10"/>
    <col collapsed="false" customWidth="true" hidden="false" outlineLevel="0" max="21" min="21" style="0" width="12"/>
    <col collapsed="false" customWidth="true" hidden="false" outlineLevel="0" max="22" min="22" style="0" width="60"/>
    <col collapsed="false" customWidth="true" hidden="false" outlineLevel="0" max="23" min="23" style="0" width="16"/>
    <col collapsed="false" customWidth="true" hidden="false" outlineLevel="0" max="24" min="24" style="0" width="52"/>
    <col collapsed="false" customWidth="true" hidden="false" outlineLevel="0" max="25" min="25" style="0" width="40"/>
    <col collapsed="false" customWidth="true" hidden="false" outlineLevel="0" max="26" min="26" style="0" width="16"/>
    <col collapsed="false" customWidth="true" hidden="false" outlineLevel="0" max="27" min="27" style="0" width="26"/>
    <col collapsed="false" customWidth="true" hidden="false" outlineLevel="0" max="28" min="28" style="0" width="16"/>
    <col collapsed="false" customWidth="true" hidden="false" outlineLevel="0" max="29" min="29" style="0" width="60"/>
  </cols>
  <sheetData>
    <row r="1" customFormat="false" ht="42" hidden="false" customHeight="true" outlineLevel="0" collapsed="false">
      <c r="A1" s="4" t="s">
        <v>464</v>
      </c>
      <c r="B1" s="4" t="s">
        <v>465</v>
      </c>
      <c r="C1" s="4" t="s">
        <v>466</v>
      </c>
      <c r="D1" s="4" t="s">
        <v>107</v>
      </c>
      <c r="E1" s="4" t="s">
        <v>467</v>
      </c>
      <c r="F1" s="4" t="s">
        <v>468</v>
      </c>
      <c r="G1" s="4" t="s">
        <v>469</v>
      </c>
      <c r="H1" s="4" t="s">
        <v>470</v>
      </c>
      <c r="I1" s="4" t="s">
        <v>471</v>
      </c>
      <c r="J1" s="4" t="s">
        <v>472</v>
      </c>
      <c r="K1" s="4" t="s">
        <v>473</v>
      </c>
      <c r="L1" s="4" t="s">
        <v>474</v>
      </c>
      <c r="M1" s="4" t="s">
        <v>475</v>
      </c>
      <c r="N1" s="4" t="s">
        <v>476</v>
      </c>
      <c r="O1" s="4" t="s">
        <v>477</v>
      </c>
      <c r="P1" s="4" t="s">
        <v>116</v>
      </c>
      <c r="Q1" s="4" t="s">
        <v>117</v>
      </c>
      <c r="R1" s="4" t="s">
        <v>118</v>
      </c>
      <c r="S1" s="4" t="s">
        <v>119</v>
      </c>
      <c r="T1" s="4" t="s">
        <v>120</v>
      </c>
      <c r="U1" s="4" t="s">
        <v>478</v>
      </c>
      <c r="V1" s="4" t="s">
        <v>479</v>
      </c>
      <c r="W1" s="4" t="s">
        <v>480</v>
      </c>
      <c r="X1" s="4" t="s">
        <v>481</v>
      </c>
      <c r="Y1" s="4" t="s">
        <v>482</v>
      </c>
      <c r="Z1" s="4" t="s">
        <v>483</v>
      </c>
      <c r="AA1" s="4" t="s">
        <v>484</v>
      </c>
      <c r="AB1" s="4" t="s">
        <v>485</v>
      </c>
      <c r="AC1" s="4" t="s">
        <v>486</v>
      </c>
    </row>
    <row r="2" customFormat="false" ht="39.55" hidden="false" customHeight="false" outlineLevel="0" collapsed="false">
      <c r="A2" s="5" t="n">
        <v>1</v>
      </c>
      <c r="B2" s="5" t="s">
        <v>438</v>
      </c>
      <c r="C2" s="5" t="s">
        <v>487</v>
      </c>
      <c r="D2" s="5" t="s">
        <v>227</v>
      </c>
      <c r="E2" s="5" t="s">
        <v>488</v>
      </c>
      <c r="F2" s="5" t="s">
        <v>489</v>
      </c>
      <c r="G2" s="5" t="s">
        <v>490</v>
      </c>
      <c r="H2" s="5" t="s">
        <v>491</v>
      </c>
      <c r="I2" s="5" t="s">
        <v>492</v>
      </c>
      <c r="J2" s="5" t="s">
        <v>493</v>
      </c>
      <c r="K2" s="5" t="s">
        <v>494</v>
      </c>
      <c r="L2" s="5" t="s">
        <v>495</v>
      </c>
      <c r="M2" s="5" t="s">
        <v>496</v>
      </c>
      <c r="N2" s="5" t="s">
        <v>497</v>
      </c>
      <c r="O2" s="5" t="s">
        <v>166</v>
      </c>
      <c r="P2" s="5" t="n">
        <f aca="false">COUNTIFS(Oportunidades!$C$2:$C$71,$B2,Oportunidades!$H$2:$H$71,"Ganada")</f>
        <v>0</v>
      </c>
      <c r="Q2" s="5" t="n">
        <f aca="false">COUNTIFS(Oportunidades!$C$2:$C$71,$B2,Oportunidades!$H$2:$H$71,"Perdida")</f>
        <v>2</v>
      </c>
      <c r="R2" s="5" t="n">
        <f aca="false">COUNTIFS(Oportunidades!$C$2:$C$71,$B2,Oportunidades!$H$2:$H$71,"Abierta")</f>
        <v>0</v>
      </c>
      <c r="S2" s="5" t="n">
        <f aca="false">COUNTIFS(Oportunidades!$C$2:$C$71,$B2,Oportunidades!$H$2:$H$71,"Ganada",Oportunidades!$Z$2:$Z$71,"Elegible")</f>
        <v>0</v>
      </c>
      <c r="T2" s="5" t="n">
        <f aca="false">COUNTIFS(Oportunidades!$C$2:$C$71,$B2,Oportunidades!$H$2:$H$71,"Perdida",Oportunidades!$Z$2:$Z$71,"Elegible")</f>
        <v>1</v>
      </c>
      <c r="U2" s="15" t="str">
        <f aca="false">IF(P2=0,"-",_xlfn.MAXIFS(Oportunidades!$I$2:$I$71,Oportunidades!$C$2:$C$71,$B2,Oportunidades!$H$2:$H$71,"Ganada"))</f>
        <v>-</v>
      </c>
      <c r="V2" s="5" t="s">
        <v>498</v>
      </c>
      <c r="W2" s="5" t="s">
        <v>432</v>
      </c>
      <c r="X2" s="5" t="s">
        <v>499</v>
      </c>
      <c r="Y2" s="16" t="s">
        <v>500</v>
      </c>
      <c r="Z2" s="16" t="s">
        <v>493</v>
      </c>
      <c r="AA2" s="16" t="s">
        <v>494</v>
      </c>
      <c r="AB2" s="16" t="s">
        <v>492</v>
      </c>
      <c r="AC2" s="5" t="s">
        <v>501</v>
      </c>
    </row>
    <row r="3" customFormat="false" ht="64.9" hidden="false" customHeight="false" outlineLevel="0" collapsed="false">
      <c r="A3" s="5" t="n">
        <v>2</v>
      </c>
      <c r="B3" s="5" t="s">
        <v>502</v>
      </c>
      <c r="C3" s="5" t="s">
        <v>126</v>
      </c>
      <c r="D3" s="5" t="s">
        <v>127</v>
      </c>
      <c r="E3" s="5" t="s">
        <v>503</v>
      </c>
      <c r="F3" s="5" t="s">
        <v>504</v>
      </c>
      <c r="G3" s="5" t="s">
        <v>505</v>
      </c>
      <c r="H3" s="5" t="s">
        <v>506</v>
      </c>
      <c r="I3" s="5" t="s">
        <v>492</v>
      </c>
      <c r="J3" s="5" t="s">
        <v>493</v>
      </c>
      <c r="K3" s="5" t="s">
        <v>494</v>
      </c>
      <c r="L3" s="5" t="s">
        <v>495</v>
      </c>
      <c r="M3" s="5" t="s">
        <v>507</v>
      </c>
      <c r="N3" s="5" t="s">
        <v>508</v>
      </c>
      <c r="O3" s="5" t="s">
        <v>133</v>
      </c>
      <c r="P3" s="5" t="n">
        <f aca="false">COUNTIFS(Oportunidades!$C$2:$C$71,$B3,Oportunidades!$H$2:$H$71,"Ganada")</f>
        <v>3</v>
      </c>
      <c r="Q3" s="5" t="n">
        <f aca="false">COUNTIFS(Oportunidades!$C$2:$C$71,$B3,Oportunidades!$H$2:$H$71,"Perdida")</f>
        <v>0</v>
      </c>
      <c r="R3" s="5" t="n">
        <f aca="false">COUNTIFS(Oportunidades!$C$2:$C$71,$B3,Oportunidades!$H$2:$H$71,"Abierta")</f>
        <v>0</v>
      </c>
      <c r="S3" s="5" t="n">
        <f aca="false">COUNTIFS(Oportunidades!$C$2:$C$71,$B3,Oportunidades!$H$2:$H$71,"Ganada",Oportunidades!$Z$2:$Z$71,"Elegible")</f>
        <v>0</v>
      </c>
      <c r="T3" s="5" t="n">
        <f aca="false">COUNTIFS(Oportunidades!$C$2:$C$71,$B3,Oportunidades!$H$2:$H$71,"Perdida",Oportunidades!$Z$2:$Z$71,"Elegible")</f>
        <v>0</v>
      </c>
      <c r="U3" s="15" t="n">
        <f aca="false">IF(P3=0,"-",_xlfn.MAXIFS(Oportunidades!$I$2:$I$71,Oportunidades!$C$2:$C$71,$B3,Oportunidades!$H$2:$H$71,"Ganada"))</f>
        <v>44527</v>
      </c>
      <c r="V3" s="5"/>
      <c r="W3" s="5" t="s">
        <v>509</v>
      </c>
      <c r="X3" s="5" t="s">
        <v>510</v>
      </c>
      <c r="Y3" s="16" t="s">
        <v>511</v>
      </c>
      <c r="Z3" s="16" t="s">
        <v>493</v>
      </c>
      <c r="AA3" s="16" t="s">
        <v>494</v>
      </c>
      <c r="AB3" s="16" t="s">
        <v>492</v>
      </c>
      <c r="AC3" s="5" t="s">
        <v>512</v>
      </c>
    </row>
    <row r="4" customFormat="false" ht="77.6" hidden="false" customHeight="false" outlineLevel="0" collapsed="false">
      <c r="A4" s="5" t="n">
        <v>3</v>
      </c>
      <c r="B4" s="5" t="s">
        <v>194</v>
      </c>
      <c r="C4" s="5" t="s">
        <v>513</v>
      </c>
      <c r="D4" s="5" t="s">
        <v>192</v>
      </c>
      <c r="E4" s="5" t="s">
        <v>514</v>
      </c>
      <c r="F4" s="5" t="s">
        <v>515</v>
      </c>
      <c r="G4" s="5" t="s">
        <v>516</v>
      </c>
      <c r="H4" s="5" t="s">
        <v>517</v>
      </c>
      <c r="I4" s="5" t="s">
        <v>492</v>
      </c>
      <c r="J4" s="5" t="s">
        <v>493</v>
      </c>
      <c r="K4" s="5" t="s">
        <v>494</v>
      </c>
      <c r="L4" s="5" t="s">
        <v>495</v>
      </c>
      <c r="M4" s="5" t="s">
        <v>518</v>
      </c>
      <c r="N4" s="5" t="s">
        <v>508</v>
      </c>
      <c r="O4" s="5" t="s">
        <v>133</v>
      </c>
      <c r="P4" s="5" t="n">
        <f aca="false">COUNTIFS(Oportunidades!$C$2:$C$71,$B4,Oportunidades!$H$2:$H$71,"Ganada")</f>
        <v>10</v>
      </c>
      <c r="Q4" s="5" t="n">
        <f aca="false">COUNTIFS(Oportunidades!$C$2:$C$71,$B4,Oportunidades!$H$2:$H$71,"Perdida")</f>
        <v>5</v>
      </c>
      <c r="R4" s="5" t="n">
        <f aca="false">COUNTIFS(Oportunidades!$C$2:$C$71,$B4,Oportunidades!$H$2:$H$71,"Abierta")</f>
        <v>0</v>
      </c>
      <c r="S4" s="5" t="n">
        <f aca="false">COUNTIFS(Oportunidades!$C$2:$C$71,$B4,Oportunidades!$H$2:$H$71,"Ganada",Oportunidades!$Z$2:$Z$71,"Elegible")</f>
        <v>10</v>
      </c>
      <c r="T4" s="5" t="n">
        <f aca="false">COUNTIFS(Oportunidades!$C$2:$C$71,$B4,Oportunidades!$H$2:$H$71,"Perdida",Oportunidades!$Z$2:$Z$71,"Elegible")</f>
        <v>3</v>
      </c>
      <c r="U4" s="15" t="n">
        <f aca="false">IF(P4=0,"-",_xlfn.MAXIFS(Oportunidades!$I$2:$I$71,Oportunidades!$C$2:$C$71,$B4,Oportunidades!$H$2:$H$71,"Ganada"))</f>
        <v>46216</v>
      </c>
      <c r="V4" s="5"/>
      <c r="W4" s="5" t="s">
        <v>189</v>
      </c>
      <c r="X4" s="5" t="s">
        <v>519</v>
      </c>
      <c r="Y4" s="16" t="s">
        <v>520</v>
      </c>
      <c r="Z4" s="16" t="s">
        <v>493</v>
      </c>
      <c r="AA4" s="16" t="s">
        <v>494</v>
      </c>
      <c r="AB4" s="16" t="s">
        <v>492</v>
      </c>
      <c r="AC4" s="5" t="s">
        <v>521</v>
      </c>
    </row>
    <row r="5" customFormat="false" ht="64.9" hidden="false" customHeight="false" outlineLevel="0" collapsed="false">
      <c r="A5" s="5" t="n">
        <v>4</v>
      </c>
      <c r="B5" s="5" t="s">
        <v>134</v>
      </c>
      <c r="C5" s="5" t="s">
        <v>126</v>
      </c>
      <c r="D5" s="5" t="s">
        <v>127</v>
      </c>
      <c r="E5" s="5" t="s">
        <v>503</v>
      </c>
      <c r="F5" s="5" t="s">
        <v>522</v>
      </c>
      <c r="G5" s="5" t="s">
        <v>505</v>
      </c>
      <c r="H5" s="5" t="s">
        <v>505</v>
      </c>
      <c r="I5" s="5" t="s">
        <v>492</v>
      </c>
      <c r="J5" s="5" t="s">
        <v>493</v>
      </c>
      <c r="K5" s="5" t="s">
        <v>494</v>
      </c>
      <c r="L5" s="5" t="s">
        <v>495</v>
      </c>
      <c r="M5" s="5" t="s">
        <v>523</v>
      </c>
      <c r="N5" s="5" t="s">
        <v>508</v>
      </c>
      <c r="O5" s="5" t="s">
        <v>133</v>
      </c>
      <c r="P5" s="5" t="n">
        <f aca="false">COUNTIFS(Oportunidades!$C$2:$C$71,$B5,Oportunidades!$H$2:$H$71,"Ganada")</f>
        <v>1</v>
      </c>
      <c r="Q5" s="5" t="n">
        <f aca="false">COUNTIFS(Oportunidades!$C$2:$C$71,$B5,Oportunidades!$H$2:$H$71,"Perdida")</f>
        <v>0</v>
      </c>
      <c r="R5" s="5" t="n">
        <f aca="false">COUNTIFS(Oportunidades!$C$2:$C$71,$B5,Oportunidades!$H$2:$H$71,"Abierta")</f>
        <v>0</v>
      </c>
      <c r="S5" s="5" t="n">
        <f aca="false">COUNTIFS(Oportunidades!$C$2:$C$71,$B5,Oportunidades!$H$2:$H$71,"Ganada",Oportunidades!$Z$2:$Z$71,"Elegible")</f>
        <v>1</v>
      </c>
      <c r="T5" s="5" t="n">
        <f aca="false">COUNTIFS(Oportunidades!$C$2:$C$71,$B5,Oportunidades!$H$2:$H$71,"Perdida",Oportunidades!$Z$2:$Z$71,"Elegible")</f>
        <v>0</v>
      </c>
      <c r="U5" s="15" t="n">
        <f aca="false">IF(P5=0,"-",_xlfn.MAXIFS(Oportunidades!$I$2:$I$71,Oportunidades!$C$2:$C$71,$B5,Oportunidades!$H$2:$H$71,"Ganada"))</f>
        <v>43946</v>
      </c>
      <c r="V5" s="5"/>
      <c r="W5" s="5" t="s">
        <v>123</v>
      </c>
      <c r="X5" s="5" t="s">
        <v>524</v>
      </c>
      <c r="Y5" s="16" t="s">
        <v>525</v>
      </c>
      <c r="Z5" s="16" t="s">
        <v>493</v>
      </c>
      <c r="AA5" s="16" t="s">
        <v>494</v>
      </c>
      <c r="AB5" s="16" t="s">
        <v>492</v>
      </c>
      <c r="AC5" s="5" t="s">
        <v>526</v>
      </c>
    </row>
    <row r="6" customFormat="false" ht="52.2" hidden="false" customHeight="false" outlineLevel="0" collapsed="false">
      <c r="A6" s="5" t="n">
        <v>5</v>
      </c>
      <c r="B6" s="5" t="s">
        <v>527</v>
      </c>
      <c r="C6" s="5" t="s">
        <v>528</v>
      </c>
      <c r="D6" s="5" t="s">
        <v>236</v>
      </c>
      <c r="E6" s="5" t="s">
        <v>236</v>
      </c>
      <c r="F6" s="5" t="s">
        <v>529</v>
      </c>
      <c r="G6" s="5" t="s">
        <v>516</v>
      </c>
      <c r="H6" s="5" t="s">
        <v>516</v>
      </c>
      <c r="I6" s="5" t="s">
        <v>492</v>
      </c>
      <c r="J6" s="5" t="s">
        <v>493</v>
      </c>
      <c r="K6" s="5" t="s">
        <v>495</v>
      </c>
      <c r="L6" s="5" t="s">
        <v>495</v>
      </c>
      <c r="M6" s="5" t="s">
        <v>530</v>
      </c>
      <c r="N6" s="5" t="s">
        <v>508</v>
      </c>
      <c r="O6" s="5" t="s">
        <v>133</v>
      </c>
      <c r="P6" s="5" t="n">
        <f aca="false">COUNTIFS(Oportunidades!$C$2:$C$71,$B6,Oportunidades!$H$2:$H$71,"Ganada")</f>
        <v>3</v>
      </c>
      <c r="Q6" s="5" t="n">
        <f aca="false">COUNTIFS(Oportunidades!$C$2:$C$71,$B6,Oportunidades!$H$2:$H$71,"Perdida")</f>
        <v>0</v>
      </c>
      <c r="R6" s="5" t="n">
        <f aca="false">COUNTIFS(Oportunidades!$C$2:$C$71,$B6,Oportunidades!$H$2:$H$71,"Abierta")</f>
        <v>0</v>
      </c>
      <c r="S6" s="5" t="n">
        <f aca="false">COUNTIFS(Oportunidades!$C$2:$C$71,$B6,Oportunidades!$H$2:$H$71,"Ganada",Oportunidades!$Z$2:$Z$71,"Elegible")</f>
        <v>3</v>
      </c>
      <c r="T6" s="5" t="n">
        <f aca="false">COUNTIFS(Oportunidades!$C$2:$C$71,$B6,Oportunidades!$H$2:$H$71,"Perdida",Oportunidades!$Z$2:$Z$71,"Elegible")</f>
        <v>0</v>
      </c>
      <c r="U6" s="15" t="n">
        <f aca="false">IF(P6=0,"-",_xlfn.MAXIFS(Oportunidades!$I$2:$I$71,Oportunidades!$C$2:$C$71,$B6,Oportunidades!$H$2:$H$71,"Ganada"))</f>
        <v>45015</v>
      </c>
      <c r="V6" s="5" t="s">
        <v>531</v>
      </c>
      <c r="W6" s="5" t="s">
        <v>532</v>
      </c>
      <c r="X6" s="5" t="s">
        <v>533</v>
      </c>
      <c r="Y6" s="16" t="s">
        <v>534</v>
      </c>
      <c r="Z6" s="16" t="s">
        <v>493</v>
      </c>
      <c r="AA6" s="16" t="s">
        <v>494</v>
      </c>
      <c r="AB6" s="16" t="s">
        <v>492</v>
      </c>
      <c r="AC6" s="5" t="s">
        <v>535</v>
      </c>
    </row>
    <row r="7" customFormat="false" ht="39.55" hidden="false" customHeight="false" outlineLevel="0" collapsed="false">
      <c r="A7" s="5" t="n">
        <v>6</v>
      </c>
      <c r="B7" s="5" t="s">
        <v>536</v>
      </c>
      <c r="C7" s="5" t="s">
        <v>126</v>
      </c>
      <c r="D7" s="5" t="s">
        <v>127</v>
      </c>
      <c r="E7" s="5" t="s">
        <v>503</v>
      </c>
      <c r="F7" s="5" t="s">
        <v>537</v>
      </c>
      <c r="G7" s="5" t="s">
        <v>505</v>
      </c>
      <c r="H7" s="5" t="s">
        <v>538</v>
      </c>
      <c r="I7" s="5" t="s">
        <v>492</v>
      </c>
      <c r="J7" s="5" t="s">
        <v>493</v>
      </c>
      <c r="K7" s="5" t="s">
        <v>494</v>
      </c>
      <c r="L7" s="5" t="s">
        <v>495</v>
      </c>
      <c r="M7" s="5" t="s">
        <v>539</v>
      </c>
      <c r="N7" s="5" t="s">
        <v>508</v>
      </c>
      <c r="O7" s="5" t="s">
        <v>133</v>
      </c>
      <c r="P7" s="5" t="n">
        <f aca="false">COUNTIFS(Oportunidades!$C$2:$C$71,$B7,Oportunidades!$H$2:$H$71,"Ganada")</f>
        <v>3</v>
      </c>
      <c r="Q7" s="5" t="n">
        <f aca="false">COUNTIFS(Oportunidades!$C$2:$C$71,$B7,Oportunidades!$H$2:$H$71,"Perdida")</f>
        <v>0</v>
      </c>
      <c r="R7" s="5" t="n">
        <f aca="false">COUNTIFS(Oportunidades!$C$2:$C$71,$B7,Oportunidades!$H$2:$H$71,"Abierta")</f>
        <v>0</v>
      </c>
      <c r="S7" s="5" t="n">
        <f aca="false">COUNTIFS(Oportunidades!$C$2:$C$71,$B7,Oportunidades!$H$2:$H$71,"Ganada",Oportunidades!$Z$2:$Z$71,"Elegible")</f>
        <v>1</v>
      </c>
      <c r="T7" s="5" t="n">
        <f aca="false">COUNTIFS(Oportunidades!$C$2:$C$71,$B7,Oportunidades!$H$2:$H$71,"Perdida",Oportunidades!$Z$2:$Z$71,"Elegible")</f>
        <v>0</v>
      </c>
      <c r="U7" s="15" t="n">
        <f aca="false">IF(P7=0,"-",_xlfn.MAXIFS(Oportunidades!$I$2:$I$71,Oportunidades!$C$2:$C$71,$B7,Oportunidades!$H$2:$H$71,"Ganada"))</f>
        <v>43701</v>
      </c>
      <c r="V7" s="5"/>
      <c r="W7" s="5" t="s">
        <v>509</v>
      </c>
      <c r="X7" s="5" t="s">
        <v>540</v>
      </c>
      <c r="Y7" s="16" t="s">
        <v>511</v>
      </c>
      <c r="Z7" s="16" t="s">
        <v>493</v>
      </c>
      <c r="AA7" s="16" t="s">
        <v>494</v>
      </c>
      <c r="AB7" s="16" t="s">
        <v>492</v>
      </c>
      <c r="AC7" s="5" t="s">
        <v>541</v>
      </c>
    </row>
    <row r="8" customFormat="false" ht="64.9" hidden="false" customHeight="false" outlineLevel="0" collapsed="false">
      <c r="A8" s="5" t="n">
        <v>7</v>
      </c>
      <c r="B8" s="5" t="s">
        <v>239</v>
      </c>
      <c r="C8" s="5" t="s">
        <v>235</v>
      </c>
      <c r="D8" s="5" t="s">
        <v>236</v>
      </c>
      <c r="E8" s="5" t="s">
        <v>236</v>
      </c>
      <c r="F8" s="5" t="s">
        <v>542</v>
      </c>
      <c r="G8" s="5" t="s">
        <v>543</v>
      </c>
      <c r="H8" s="5" t="s">
        <v>516</v>
      </c>
      <c r="I8" s="5" t="s">
        <v>492</v>
      </c>
      <c r="J8" s="5" t="s">
        <v>493</v>
      </c>
      <c r="K8" s="5" t="s">
        <v>495</v>
      </c>
      <c r="L8" s="5" t="s">
        <v>495</v>
      </c>
      <c r="M8" s="5" t="s">
        <v>523</v>
      </c>
      <c r="N8" s="5" t="s">
        <v>508</v>
      </c>
      <c r="O8" s="5" t="s">
        <v>133</v>
      </c>
      <c r="P8" s="5" t="n">
        <f aca="false">COUNTIFS(Oportunidades!$C$2:$C$71,$B8,Oportunidades!$H$2:$H$71,"Ganada")</f>
        <v>1</v>
      </c>
      <c r="Q8" s="5" t="n">
        <f aca="false">COUNTIFS(Oportunidades!$C$2:$C$71,$B8,Oportunidades!$H$2:$H$71,"Perdida")</f>
        <v>1</v>
      </c>
      <c r="R8" s="5" t="n">
        <f aca="false">COUNTIFS(Oportunidades!$C$2:$C$71,$B8,Oportunidades!$H$2:$H$71,"Abierta")</f>
        <v>0</v>
      </c>
      <c r="S8" s="5" t="n">
        <f aca="false">COUNTIFS(Oportunidades!$C$2:$C$71,$B8,Oportunidades!$H$2:$H$71,"Ganada",Oportunidades!$Z$2:$Z$71,"Elegible")</f>
        <v>1</v>
      </c>
      <c r="T8" s="5" t="n">
        <f aca="false">COUNTIFS(Oportunidades!$C$2:$C$71,$B8,Oportunidades!$H$2:$H$71,"Perdida",Oportunidades!$Z$2:$Z$71,"Elegible")</f>
        <v>1</v>
      </c>
      <c r="U8" s="15" t="n">
        <f aca="false">IF(P8=0,"-",_xlfn.MAXIFS(Oportunidades!$I$2:$I$71,Oportunidades!$C$2:$C$71,$B8,Oportunidades!$H$2:$H$71,"Ganada"))</f>
        <v>45378</v>
      </c>
      <c r="V8" s="5" t="s">
        <v>531</v>
      </c>
      <c r="W8" s="5" t="s">
        <v>233</v>
      </c>
      <c r="X8" s="5" t="s">
        <v>544</v>
      </c>
      <c r="Y8" s="16" t="s">
        <v>545</v>
      </c>
      <c r="Z8" s="16" t="s">
        <v>493</v>
      </c>
      <c r="AA8" s="16" t="s">
        <v>494</v>
      </c>
      <c r="AB8" s="16" t="s">
        <v>492</v>
      </c>
      <c r="AC8" s="5" t="s">
        <v>546</v>
      </c>
    </row>
    <row r="9" customFormat="false" ht="64.9" hidden="false" customHeight="false" outlineLevel="0" collapsed="false">
      <c r="A9" s="5" t="n">
        <v>8</v>
      </c>
      <c r="B9" s="5" t="s">
        <v>547</v>
      </c>
      <c r="C9" s="5" t="s">
        <v>487</v>
      </c>
      <c r="D9" s="5" t="s">
        <v>227</v>
      </c>
      <c r="E9" s="5" t="s">
        <v>488</v>
      </c>
      <c r="F9" s="5" t="s">
        <v>548</v>
      </c>
      <c r="G9" s="5" t="s">
        <v>549</v>
      </c>
      <c r="H9" s="5"/>
      <c r="I9" s="5" t="s">
        <v>492</v>
      </c>
      <c r="J9" s="5" t="s">
        <v>550</v>
      </c>
      <c r="K9" s="5" t="s">
        <v>551</v>
      </c>
      <c r="L9" s="5" t="s">
        <v>495</v>
      </c>
      <c r="M9" s="5" t="s">
        <v>552</v>
      </c>
      <c r="N9" s="5" t="s">
        <v>553</v>
      </c>
      <c r="O9" s="5" t="s">
        <v>133</v>
      </c>
      <c r="P9" s="5" t="n">
        <f aca="false">COUNTIFS(Oportunidades!$C$2:$C$71,$B9,Oportunidades!$H$2:$H$71,"Ganada")</f>
        <v>0</v>
      </c>
      <c r="Q9" s="5" t="n">
        <f aca="false">COUNTIFS(Oportunidades!$C$2:$C$71,$B9,Oportunidades!$H$2:$H$71,"Perdida")</f>
        <v>0</v>
      </c>
      <c r="R9" s="5" t="n">
        <f aca="false">COUNTIFS(Oportunidades!$C$2:$C$71,$B9,Oportunidades!$H$2:$H$71,"Abierta")</f>
        <v>0</v>
      </c>
      <c r="S9" s="5" t="n">
        <f aca="false">COUNTIFS(Oportunidades!$C$2:$C$71,$B9,Oportunidades!$H$2:$H$71,"Ganada",Oportunidades!$Z$2:$Z$71,"Elegible")</f>
        <v>0</v>
      </c>
      <c r="T9" s="5" t="n">
        <f aca="false">COUNTIFS(Oportunidades!$C$2:$C$71,$B9,Oportunidades!$H$2:$H$71,"Perdida",Oportunidades!$Z$2:$Z$71,"Elegible")</f>
        <v>0</v>
      </c>
      <c r="U9" s="15" t="str">
        <f aca="false">IF(P9=0,"-",_xlfn.MAXIFS(Oportunidades!$I$2:$I$71,Oportunidades!$C$2:$C$71,$B9,Oportunidades!$H$2:$H$71,"Ganada"))</f>
        <v>-</v>
      </c>
      <c r="V9" s="5" t="s">
        <v>554</v>
      </c>
      <c r="W9" s="5" t="s">
        <v>509</v>
      </c>
      <c r="X9" s="5" t="s">
        <v>555</v>
      </c>
      <c r="Y9" s="16" t="s">
        <v>556</v>
      </c>
      <c r="Z9" s="16" t="s">
        <v>493</v>
      </c>
      <c r="AA9" s="16" t="s">
        <v>494</v>
      </c>
      <c r="AB9" s="16" t="s">
        <v>492</v>
      </c>
      <c r="AC9" s="5" t="s">
        <v>557</v>
      </c>
    </row>
    <row r="10" customFormat="false" ht="64.9" hidden="false" customHeight="false" outlineLevel="0" collapsed="false">
      <c r="A10" s="5" t="n">
        <v>9</v>
      </c>
      <c r="B10" s="5" t="s">
        <v>558</v>
      </c>
      <c r="C10" s="5" t="s">
        <v>407</v>
      </c>
      <c r="D10" s="5" t="s">
        <v>408</v>
      </c>
      <c r="E10" s="5" t="s">
        <v>559</v>
      </c>
      <c r="F10" s="5" t="s">
        <v>560</v>
      </c>
      <c r="G10" s="5" t="s">
        <v>561</v>
      </c>
      <c r="H10" s="5" t="s">
        <v>562</v>
      </c>
      <c r="I10" s="5" t="s">
        <v>492</v>
      </c>
      <c r="J10" s="5" t="s">
        <v>493</v>
      </c>
      <c r="K10" s="5" t="s">
        <v>494</v>
      </c>
      <c r="L10" s="5" t="s">
        <v>495</v>
      </c>
      <c r="M10" s="5" t="s">
        <v>563</v>
      </c>
      <c r="N10" s="5" t="s">
        <v>564</v>
      </c>
      <c r="O10" s="5" t="s">
        <v>133</v>
      </c>
      <c r="P10" s="5" t="n">
        <f aca="false">COUNTIFS(Oportunidades!$C$2:$C$71,$B10,Oportunidades!$H$2:$H$71,"Ganada")</f>
        <v>0</v>
      </c>
      <c r="Q10" s="5" t="n">
        <f aca="false">COUNTIFS(Oportunidades!$C$2:$C$71,$B10,Oportunidades!$H$2:$H$71,"Perdida")</f>
        <v>1</v>
      </c>
      <c r="R10" s="5" t="n">
        <f aca="false">COUNTIFS(Oportunidades!$C$2:$C$71,$B10,Oportunidades!$H$2:$H$71,"Abierta")</f>
        <v>1</v>
      </c>
      <c r="S10" s="5" t="n">
        <f aca="false">COUNTIFS(Oportunidades!$C$2:$C$71,$B10,Oportunidades!$H$2:$H$71,"Ganada",Oportunidades!$Z$2:$Z$71,"Elegible")</f>
        <v>0</v>
      </c>
      <c r="T10" s="5" t="n">
        <f aca="false">COUNTIFS(Oportunidades!$C$2:$C$71,$B10,Oportunidades!$H$2:$H$71,"Perdida",Oportunidades!$Z$2:$Z$71,"Elegible")</f>
        <v>1</v>
      </c>
      <c r="U10" s="15" t="str">
        <f aca="false">IF(P10=0,"-",_xlfn.MAXIFS(Oportunidades!$I$2:$I$71,Oportunidades!$C$2:$C$71,$B10,Oportunidades!$H$2:$H$71,"Ganada"))</f>
        <v>-</v>
      </c>
      <c r="V10" s="5"/>
      <c r="W10" s="5" t="s">
        <v>565</v>
      </c>
      <c r="X10" s="5" t="s">
        <v>566</v>
      </c>
      <c r="Y10" s="16" t="s">
        <v>567</v>
      </c>
      <c r="Z10" s="16" t="s">
        <v>493</v>
      </c>
      <c r="AA10" s="16" t="s">
        <v>494</v>
      </c>
      <c r="AB10" s="16" t="s">
        <v>492</v>
      </c>
      <c r="AC10" s="5" t="s">
        <v>568</v>
      </c>
    </row>
    <row r="11" customFormat="false" ht="52.2" hidden="false" customHeight="false" outlineLevel="0" collapsed="false">
      <c r="A11" s="5" t="n">
        <v>10</v>
      </c>
      <c r="B11" s="5" t="s">
        <v>569</v>
      </c>
      <c r="C11" s="5" t="s">
        <v>199</v>
      </c>
      <c r="D11" s="5" t="s">
        <v>200</v>
      </c>
      <c r="E11" s="5" t="s">
        <v>570</v>
      </c>
      <c r="F11" s="5" t="s">
        <v>571</v>
      </c>
      <c r="G11" s="5" t="s">
        <v>572</v>
      </c>
      <c r="H11" s="5" t="s">
        <v>572</v>
      </c>
      <c r="I11" s="5" t="s">
        <v>573</v>
      </c>
      <c r="J11" s="5" t="s">
        <v>493</v>
      </c>
      <c r="K11" s="5" t="s">
        <v>494</v>
      </c>
      <c r="L11" s="5" t="s">
        <v>495</v>
      </c>
      <c r="M11" s="5" t="s">
        <v>574</v>
      </c>
      <c r="N11" s="5" t="s">
        <v>575</v>
      </c>
      <c r="O11" s="5" t="s">
        <v>133</v>
      </c>
      <c r="P11" s="5" t="n">
        <f aca="false">COUNTIFS(Oportunidades!$C$2:$C$71,$B11,Oportunidades!$H$2:$H$71,"Ganada")</f>
        <v>5</v>
      </c>
      <c r="Q11" s="5" t="n">
        <f aca="false">COUNTIFS(Oportunidades!$C$2:$C$71,$B11,Oportunidades!$H$2:$H$71,"Perdida")</f>
        <v>2</v>
      </c>
      <c r="R11" s="5" t="n">
        <f aca="false">COUNTIFS(Oportunidades!$C$2:$C$71,$B11,Oportunidades!$H$2:$H$71,"Abierta")</f>
        <v>0</v>
      </c>
      <c r="S11" s="5" t="n">
        <f aca="false">COUNTIFS(Oportunidades!$C$2:$C$71,$B11,Oportunidades!$H$2:$H$71,"Ganada",Oportunidades!$Z$2:$Z$71,"Elegible")</f>
        <v>0</v>
      </c>
      <c r="T11" s="5" t="n">
        <f aca="false">COUNTIFS(Oportunidades!$C$2:$C$71,$B11,Oportunidades!$H$2:$H$71,"Perdida",Oportunidades!$Z$2:$Z$71,"Elegible")</f>
        <v>0</v>
      </c>
      <c r="U11" s="15" t="n">
        <f aca="false">IF(P11=0,"-",_xlfn.MAXIFS(Oportunidades!$I$2:$I$71,Oportunidades!$C$2:$C$71,$B11,Oportunidades!$H$2:$H$71,"Ganada"))</f>
        <v>45520</v>
      </c>
      <c r="V11" s="5" t="s">
        <v>576</v>
      </c>
      <c r="W11" s="5" t="s">
        <v>197</v>
      </c>
      <c r="X11" s="5" t="s">
        <v>577</v>
      </c>
      <c r="Y11" s="16" t="s">
        <v>578</v>
      </c>
      <c r="Z11" s="16" t="s">
        <v>493</v>
      </c>
      <c r="AA11" s="16" t="s">
        <v>494</v>
      </c>
      <c r="AB11" s="16" t="s">
        <v>492</v>
      </c>
      <c r="AC11" s="5" t="s">
        <v>579</v>
      </c>
    </row>
    <row r="12" customFormat="false" ht="52.2" hidden="false" customHeight="false" outlineLevel="0" collapsed="false">
      <c r="A12" s="5" t="n">
        <v>11</v>
      </c>
      <c r="B12" s="5" t="s">
        <v>186</v>
      </c>
      <c r="C12" s="5" t="s">
        <v>183</v>
      </c>
      <c r="D12" s="5" t="s">
        <v>184</v>
      </c>
      <c r="E12" s="5" t="s">
        <v>580</v>
      </c>
      <c r="F12" s="5" t="s">
        <v>581</v>
      </c>
      <c r="G12" s="5" t="s">
        <v>582</v>
      </c>
      <c r="H12" s="5" t="s">
        <v>582</v>
      </c>
      <c r="I12" s="5" t="s">
        <v>583</v>
      </c>
      <c r="J12" s="5" t="s">
        <v>493</v>
      </c>
      <c r="K12" s="5" t="s">
        <v>494</v>
      </c>
      <c r="L12" s="5" t="s">
        <v>495</v>
      </c>
      <c r="M12" s="5" t="s">
        <v>584</v>
      </c>
      <c r="N12" s="5" t="s">
        <v>585</v>
      </c>
      <c r="O12" s="5" t="s">
        <v>133</v>
      </c>
      <c r="P12" s="5" t="n">
        <f aca="false">COUNTIFS(Oportunidades!$C$2:$C$71,$B12,Oportunidades!$H$2:$H$71,"Ganada")</f>
        <v>1</v>
      </c>
      <c r="Q12" s="5" t="n">
        <f aca="false">COUNTIFS(Oportunidades!$C$2:$C$71,$B12,Oportunidades!$H$2:$H$71,"Perdida")</f>
        <v>0</v>
      </c>
      <c r="R12" s="5" t="n">
        <f aca="false">COUNTIFS(Oportunidades!$C$2:$C$71,$B12,Oportunidades!$H$2:$H$71,"Abierta")</f>
        <v>1</v>
      </c>
      <c r="S12" s="5" t="n">
        <f aca="false">COUNTIFS(Oportunidades!$C$2:$C$71,$B12,Oportunidades!$H$2:$H$71,"Ganada",Oportunidades!$Z$2:$Z$71,"Elegible")</f>
        <v>0</v>
      </c>
      <c r="T12" s="5" t="n">
        <f aca="false">COUNTIFS(Oportunidades!$C$2:$C$71,$B12,Oportunidades!$H$2:$H$71,"Perdida",Oportunidades!$Z$2:$Z$71,"Elegible")</f>
        <v>0</v>
      </c>
      <c r="U12" s="15" t="n">
        <f aca="false">IF(P12=0,"-",_xlfn.MAXIFS(Oportunidades!$I$2:$I$71,Oportunidades!$C$2:$C$71,$B12,Oportunidades!$H$2:$H$71,"Ganada"))</f>
        <v>46227</v>
      </c>
      <c r="V12" s="5" t="s">
        <v>586</v>
      </c>
      <c r="W12" s="5" t="s">
        <v>181</v>
      </c>
      <c r="X12" s="5" t="s">
        <v>587</v>
      </c>
      <c r="Y12" s="16" t="s">
        <v>588</v>
      </c>
      <c r="Z12" s="16" t="s">
        <v>493</v>
      </c>
      <c r="AA12" s="16" t="s">
        <v>494</v>
      </c>
      <c r="AB12" s="16" t="s">
        <v>492</v>
      </c>
      <c r="AC12" s="5" t="s">
        <v>589</v>
      </c>
    </row>
    <row r="13" customFormat="false" ht="39.55" hidden="false" customHeight="false" outlineLevel="0" collapsed="false">
      <c r="A13" s="5" t="n">
        <v>12</v>
      </c>
      <c r="B13" s="5" t="s">
        <v>590</v>
      </c>
      <c r="C13" s="5" t="s">
        <v>199</v>
      </c>
      <c r="D13" s="5" t="s">
        <v>200</v>
      </c>
      <c r="E13" s="5" t="s">
        <v>570</v>
      </c>
      <c r="F13" s="5" t="s">
        <v>591</v>
      </c>
      <c r="G13" s="5" t="s">
        <v>592</v>
      </c>
      <c r="H13" s="5" t="s">
        <v>572</v>
      </c>
      <c r="I13" s="5" t="s">
        <v>593</v>
      </c>
      <c r="J13" s="5" t="s">
        <v>493</v>
      </c>
      <c r="K13" s="5" t="s">
        <v>494</v>
      </c>
      <c r="L13" s="5" t="s">
        <v>495</v>
      </c>
      <c r="M13" s="5" t="s">
        <v>594</v>
      </c>
      <c r="N13" s="5" t="s">
        <v>595</v>
      </c>
      <c r="O13" s="5" t="s">
        <v>133</v>
      </c>
      <c r="P13" s="5" t="n">
        <f aca="false">COUNTIFS(Oportunidades!$C$2:$C$71,$B13,Oportunidades!$H$2:$H$71,"Ganada")</f>
        <v>1</v>
      </c>
      <c r="Q13" s="5" t="n">
        <f aca="false">COUNTIFS(Oportunidades!$C$2:$C$71,$B13,Oportunidades!$H$2:$H$71,"Perdida")</f>
        <v>0</v>
      </c>
      <c r="R13" s="5" t="n">
        <f aca="false">COUNTIFS(Oportunidades!$C$2:$C$71,$B13,Oportunidades!$H$2:$H$71,"Abierta")</f>
        <v>0</v>
      </c>
      <c r="S13" s="5" t="n">
        <f aca="false">COUNTIFS(Oportunidades!$C$2:$C$71,$B13,Oportunidades!$H$2:$H$71,"Ganada",Oportunidades!$Z$2:$Z$71,"Elegible")</f>
        <v>0</v>
      </c>
      <c r="T13" s="5" t="n">
        <f aca="false">COUNTIFS(Oportunidades!$C$2:$C$71,$B13,Oportunidades!$H$2:$H$71,"Perdida",Oportunidades!$Z$2:$Z$71,"Elegible")</f>
        <v>0</v>
      </c>
      <c r="U13" s="15" t="n">
        <f aca="false">IF(P13=0,"-",_xlfn.MAXIFS(Oportunidades!$I$2:$I$71,Oportunidades!$C$2:$C$71,$B13,Oportunidades!$H$2:$H$71,"Ganada"))</f>
        <v>45225</v>
      </c>
      <c r="V13" s="5" t="s">
        <v>596</v>
      </c>
      <c r="W13" s="5" t="s">
        <v>197</v>
      </c>
      <c r="X13" s="5" t="s">
        <v>597</v>
      </c>
      <c r="Y13" s="16" t="s">
        <v>598</v>
      </c>
      <c r="Z13" s="16" t="s">
        <v>493</v>
      </c>
      <c r="AA13" s="16" t="s">
        <v>494</v>
      </c>
      <c r="AB13" s="16" t="s">
        <v>492</v>
      </c>
      <c r="AC13" s="5" t="s">
        <v>599</v>
      </c>
    </row>
    <row r="14" customFormat="false" ht="64.9" hidden="false" customHeight="false" outlineLevel="0" collapsed="false">
      <c r="A14" s="5" t="n">
        <v>13</v>
      </c>
      <c r="B14" s="5" t="s">
        <v>600</v>
      </c>
      <c r="C14" s="5" t="s">
        <v>126</v>
      </c>
      <c r="D14" s="5" t="s">
        <v>127</v>
      </c>
      <c r="E14" s="5" t="s">
        <v>503</v>
      </c>
      <c r="F14" s="5" t="s">
        <v>601</v>
      </c>
      <c r="G14" s="5" t="s">
        <v>505</v>
      </c>
      <c r="H14" s="5" t="s">
        <v>538</v>
      </c>
      <c r="I14" s="5" t="s">
        <v>492</v>
      </c>
      <c r="J14" s="5" t="s">
        <v>493</v>
      </c>
      <c r="K14" s="5" t="s">
        <v>494</v>
      </c>
      <c r="L14" s="5" t="s">
        <v>495</v>
      </c>
      <c r="M14" s="5" t="s">
        <v>602</v>
      </c>
      <c r="N14" s="5" t="s">
        <v>508</v>
      </c>
      <c r="O14" s="5" t="s">
        <v>133</v>
      </c>
      <c r="P14" s="5" t="n">
        <f aca="false">COUNTIFS(Oportunidades!$C$2:$C$71,$B14,Oportunidades!$H$2:$H$71,"Ganada")</f>
        <v>2</v>
      </c>
      <c r="Q14" s="5" t="n">
        <f aca="false">COUNTIFS(Oportunidades!$C$2:$C$71,$B14,Oportunidades!$H$2:$H$71,"Perdida")</f>
        <v>0</v>
      </c>
      <c r="R14" s="5" t="n">
        <f aca="false">COUNTIFS(Oportunidades!$C$2:$C$71,$B14,Oportunidades!$H$2:$H$71,"Abierta")</f>
        <v>0</v>
      </c>
      <c r="S14" s="5" t="n">
        <f aca="false">COUNTIFS(Oportunidades!$C$2:$C$71,$B14,Oportunidades!$H$2:$H$71,"Ganada",Oportunidades!$Z$2:$Z$71,"Elegible")</f>
        <v>2</v>
      </c>
      <c r="T14" s="5" t="n">
        <f aca="false">COUNTIFS(Oportunidades!$C$2:$C$71,$B14,Oportunidades!$H$2:$H$71,"Perdida",Oportunidades!$Z$2:$Z$71,"Elegible")</f>
        <v>0</v>
      </c>
      <c r="U14" s="15" t="n">
        <f aca="false">IF(P14=0,"-",_xlfn.MAXIFS(Oportunidades!$I$2:$I$71,Oportunidades!$C$2:$C$71,$B14,Oportunidades!$H$2:$H$71,"Ganada"))</f>
        <v>44741</v>
      </c>
      <c r="V14" s="5"/>
      <c r="W14" s="5" t="s">
        <v>603</v>
      </c>
      <c r="X14" s="5" t="s">
        <v>604</v>
      </c>
      <c r="Y14" s="16" t="s">
        <v>605</v>
      </c>
      <c r="Z14" s="16" t="s">
        <v>493</v>
      </c>
      <c r="AA14" s="16" t="s">
        <v>494</v>
      </c>
      <c r="AB14" s="16" t="s">
        <v>492</v>
      </c>
      <c r="AC14" s="5" t="s">
        <v>606</v>
      </c>
    </row>
    <row r="15" customFormat="false" ht="102.95" hidden="false" customHeight="false" outlineLevel="0" collapsed="false">
      <c r="A15" s="5" t="n">
        <v>14</v>
      </c>
      <c r="B15" s="5" t="s">
        <v>156</v>
      </c>
      <c r="C15" s="5" t="s">
        <v>607</v>
      </c>
      <c r="D15" s="5" t="s">
        <v>127</v>
      </c>
      <c r="E15" s="5" t="s">
        <v>503</v>
      </c>
      <c r="F15" s="5" t="s">
        <v>608</v>
      </c>
      <c r="G15" s="5" t="s">
        <v>609</v>
      </c>
      <c r="H15" s="5" t="s">
        <v>610</v>
      </c>
      <c r="I15" s="5" t="s">
        <v>492</v>
      </c>
      <c r="J15" s="5" t="s">
        <v>493</v>
      </c>
      <c r="K15" s="5" t="s">
        <v>494</v>
      </c>
      <c r="L15" s="5" t="s">
        <v>495</v>
      </c>
      <c r="M15" s="5" t="s">
        <v>611</v>
      </c>
      <c r="N15" s="5" t="s">
        <v>508</v>
      </c>
      <c r="O15" s="5" t="s">
        <v>133</v>
      </c>
      <c r="P15" s="5" t="n">
        <f aca="false">COUNTIFS(Oportunidades!$C$2:$C$71,$B15,Oportunidades!$H$2:$H$71,"Ganada")</f>
        <v>11</v>
      </c>
      <c r="Q15" s="5" t="n">
        <f aca="false">COUNTIFS(Oportunidades!$C$2:$C$71,$B15,Oportunidades!$H$2:$H$71,"Perdida")</f>
        <v>3</v>
      </c>
      <c r="R15" s="5" t="n">
        <f aca="false">COUNTIFS(Oportunidades!$C$2:$C$71,$B15,Oportunidades!$H$2:$H$71,"Abierta")</f>
        <v>0</v>
      </c>
      <c r="S15" s="5" t="n">
        <f aca="false">COUNTIFS(Oportunidades!$C$2:$C$71,$B15,Oportunidades!$H$2:$H$71,"Ganada",Oportunidades!$Z$2:$Z$71,"Elegible")</f>
        <v>10</v>
      </c>
      <c r="T15" s="5" t="n">
        <f aca="false">COUNTIFS(Oportunidades!$C$2:$C$71,$B15,Oportunidades!$H$2:$H$71,"Perdida",Oportunidades!$Z$2:$Z$71,"Elegible")</f>
        <v>3</v>
      </c>
      <c r="U15" s="15" t="n">
        <f aca="false">IF(P15=0,"-",_xlfn.MAXIFS(Oportunidades!$I$2:$I$71,Oportunidades!$C$2:$C$71,$B15,Oportunidades!$H$2:$H$71,"Ganada"))</f>
        <v>45463</v>
      </c>
      <c r="V15" s="5" t="s">
        <v>612</v>
      </c>
      <c r="W15" s="5" t="s">
        <v>149</v>
      </c>
      <c r="X15" s="5" t="s">
        <v>613</v>
      </c>
      <c r="Y15" s="16" t="s">
        <v>614</v>
      </c>
      <c r="Z15" s="16" t="s">
        <v>493</v>
      </c>
      <c r="AA15" s="16" t="s">
        <v>494</v>
      </c>
      <c r="AB15" s="16" t="s">
        <v>492</v>
      </c>
      <c r="AC15" s="5" t="s">
        <v>615</v>
      </c>
    </row>
    <row r="16" customFormat="false" ht="64.9" hidden="false" customHeight="false" outlineLevel="0" collapsed="false">
      <c r="A16" s="5" t="n">
        <v>15</v>
      </c>
      <c r="B16" s="5" t="s">
        <v>343</v>
      </c>
      <c r="C16" s="5" t="s">
        <v>338</v>
      </c>
      <c r="D16" s="5" t="s">
        <v>208</v>
      </c>
      <c r="E16" s="5" t="s">
        <v>616</v>
      </c>
      <c r="F16" s="5" t="s">
        <v>617</v>
      </c>
      <c r="G16" s="5" t="s">
        <v>490</v>
      </c>
      <c r="H16" s="5"/>
      <c r="I16" s="5" t="s">
        <v>492</v>
      </c>
      <c r="J16" s="5" t="s">
        <v>493</v>
      </c>
      <c r="K16" s="5" t="s">
        <v>495</v>
      </c>
      <c r="L16" s="5" t="s">
        <v>495</v>
      </c>
      <c r="M16" s="5" t="s">
        <v>618</v>
      </c>
      <c r="N16" s="5" t="s">
        <v>508</v>
      </c>
      <c r="O16" s="5" t="s">
        <v>133</v>
      </c>
      <c r="P16" s="5" t="n">
        <f aca="false">COUNTIFS(Oportunidades!$C$2:$C$71,$B16,Oportunidades!$H$2:$H$71,"Ganada")</f>
        <v>0</v>
      </c>
      <c r="Q16" s="5" t="n">
        <f aca="false">COUNTIFS(Oportunidades!$C$2:$C$71,$B16,Oportunidades!$H$2:$H$71,"Perdida")</f>
        <v>0</v>
      </c>
      <c r="R16" s="5" t="n">
        <f aca="false">COUNTIFS(Oportunidades!$C$2:$C$71,$B16,Oportunidades!$H$2:$H$71,"Abierta")</f>
        <v>0</v>
      </c>
      <c r="S16" s="5" t="n">
        <f aca="false">COUNTIFS(Oportunidades!$C$2:$C$71,$B16,Oportunidades!$H$2:$H$71,"Ganada",Oportunidades!$Z$2:$Z$71,"Elegible")</f>
        <v>0</v>
      </c>
      <c r="T16" s="5" t="n">
        <f aca="false">COUNTIFS(Oportunidades!$C$2:$C$71,$B16,Oportunidades!$H$2:$H$71,"Perdida",Oportunidades!$Z$2:$Z$71,"Elegible")</f>
        <v>0</v>
      </c>
      <c r="U16" s="15" t="str">
        <f aca="false">IF(P16=0,"-",_xlfn.MAXIFS(Oportunidades!$I$2:$I$71,Oportunidades!$C$2:$C$71,$B16,Oportunidades!$H$2:$H$71,"Ganada"))</f>
        <v>-</v>
      </c>
      <c r="V16" s="5" t="s">
        <v>619</v>
      </c>
      <c r="W16" s="5" t="s">
        <v>335</v>
      </c>
      <c r="X16" s="5" t="s">
        <v>620</v>
      </c>
      <c r="Y16" s="16" t="s">
        <v>621</v>
      </c>
      <c r="Z16" s="16" t="s">
        <v>493</v>
      </c>
      <c r="AA16" s="16" t="s">
        <v>494</v>
      </c>
      <c r="AB16" s="16" t="s">
        <v>492</v>
      </c>
      <c r="AC16" s="5" t="s">
        <v>622</v>
      </c>
    </row>
    <row r="17" customFormat="false" ht="52.2" hidden="false" customHeight="false" outlineLevel="0" collapsed="false">
      <c r="A17" s="5" t="n">
        <v>16</v>
      </c>
      <c r="B17" s="5" t="s">
        <v>354</v>
      </c>
      <c r="C17" s="5" t="s">
        <v>348</v>
      </c>
      <c r="D17" s="5" t="s">
        <v>349</v>
      </c>
      <c r="E17" s="5" t="s">
        <v>623</v>
      </c>
      <c r="F17" s="5" t="s">
        <v>624</v>
      </c>
      <c r="G17" s="5" t="s">
        <v>625</v>
      </c>
      <c r="H17" s="5"/>
      <c r="I17" s="5" t="s">
        <v>492</v>
      </c>
      <c r="J17" s="5" t="s">
        <v>493</v>
      </c>
      <c r="K17" s="5" t="s">
        <v>494</v>
      </c>
      <c r="L17" s="5" t="s">
        <v>495</v>
      </c>
      <c r="M17" s="5" t="s">
        <v>626</v>
      </c>
      <c r="N17" s="5" t="s">
        <v>627</v>
      </c>
      <c r="O17" s="5" t="s">
        <v>166</v>
      </c>
      <c r="P17" s="5" t="n">
        <f aca="false">COUNTIFS(Oportunidades!$C$2:$C$71,$B17,Oportunidades!$H$2:$H$71,"Ganada")</f>
        <v>0</v>
      </c>
      <c r="Q17" s="5" t="n">
        <f aca="false">COUNTIFS(Oportunidades!$C$2:$C$71,$B17,Oportunidades!$H$2:$H$71,"Perdida")</f>
        <v>0</v>
      </c>
      <c r="R17" s="5" t="n">
        <f aca="false">COUNTIFS(Oportunidades!$C$2:$C$71,$B17,Oportunidades!$H$2:$H$71,"Abierta")</f>
        <v>0</v>
      </c>
      <c r="S17" s="5" t="n">
        <f aca="false">COUNTIFS(Oportunidades!$C$2:$C$71,$B17,Oportunidades!$H$2:$H$71,"Ganada",Oportunidades!$Z$2:$Z$71,"Elegible")</f>
        <v>0</v>
      </c>
      <c r="T17" s="5" t="n">
        <f aca="false">COUNTIFS(Oportunidades!$C$2:$C$71,$B17,Oportunidades!$H$2:$H$71,"Perdida",Oportunidades!$Z$2:$Z$71,"Elegible")</f>
        <v>0</v>
      </c>
      <c r="U17" s="15" t="str">
        <f aca="false">IF(P17=0,"-",_xlfn.MAXIFS(Oportunidades!$I$2:$I$71,Oportunidades!$C$2:$C$71,$B17,Oportunidades!$H$2:$H$71,"Ganada"))</f>
        <v>-</v>
      </c>
      <c r="V17" s="5" t="s">
        <v>628</v>
      </c>
      <c r="W17" s="5" t="s">
        <v>346</v>
      </c>
      <c r="X17" s="5" t="s">
        <v>629</v>
      </c>
      <c r="Y17" s="16" t="s">
        <v>630</v>
      </c>
      <c r="Z17" s="16" t="s">
        <v>493</v>
      </c>
      <c r="AA17" s="16" t="s">
        <v>494</v>
      </c>
      <c r="AB17" s="16" t="s">
        <v>492</v>
      </c>
      <c r="AC17" s="5" t="s">
        <v>631</v>
      </c>
    </row>
    <row r="18" customFormat="false" ht="52.2" hidden="false" customHeight="false" outlineLevel="0" collapsed="false">
      <c r="A18" s="5" t="n">
        <v>17</v>
      </c>
      <c r="B18" s="5" t="s">
        <v>632</v>
      </c>
      <c r="C18" s="5" t="s">
        <v>633</v>
      </c>
      <c r="D18" s="5" t="s">
        <v>633</v>
      </c>
      <c r="E18" s="5" t="s">
        <v>633</v>
      </c>
      <c r="F18" s="5" t="s">
        <v>634</v>
      </c>
      <c r="G18" s="5" t="s">
        <v>635</v>
      </c>
      <c r="H18" s="5" t="s">
        <v>635</v>
      </c>
      <c r="I18" s="5" t="s">
        <v>492</v>
      </c>
      <c r="J18" s="5" t="s">
        <v>493</v>
      </c>
      <c r="K18" s="5" t="s">
        <v>494</v>
      </c>
      <c r="L18" s="5" t="s">
        <v>495</v>
      </c>
      <c r="M18" s="5" t="s">
        <v>636</v>
      </c>
      <c r="N18" s="5" t="s">
        <v>637</v>
      </c>
      <c r="O18" s="5" t="s">
        <v>133</v>
      </c>
      <c r="P18" s="5" t="n">
        <f aca="false">COUNTIFS(Oportunidades!$C$2:$C$71,$B18,Oportunidades!$H$2:$H$71,"Ganada")</f>
        <v>0</v>
      </c>
      <c r="Q18" s="5" t="n">
        <f aca="false">COUNTIFS(Oportunidades!$C$2:$C$71,$B18,Oportunidades!$H$2:$H$71,"Perdida")</f>
        <v>0</v>
      </c>
      <c r="R18" s="5" t="n">
        <f aca="false">COUNTIFS(Oportunidades!$C$2:$C$71,$B18,Oportunidades!$H$2:$H$71,"Abierta")</f>
        <v>2</v>
      </c>
      <c r="S18" s="5" t="n">
        <f aca="false">COUNTIFS(Oportunidades!$C$2:$C$71,$B18,Oportunidades!$H$2:$H$71,"Ganada",Oportunidades!$Z$2:$Z$71,"Elegible")</f>
        <v>0</v>
      </c>
      <c r="T18" s="5" t="n">
        <f aca="false">COUNTIFS(Oportunidades!$C$2:$C$71,$B18,Oportunidades!$H$2:$H$71,"Perdida",Oportunidades!$Z$2:$Z$71,"Elegible")</f>
        <v>0</v>
      </c>
      <c r="U18" s="15" t="str">
        <f aca="false">IF(P18=0,"-",_xlfn.MAXIFS(Oportunidades!$I$2:$I$71,Oportunidades!$C$2:$C$71,$B18,Oportunidades!$H$2:$H$71,"Ganada"))</f>
        <v>-</v>
      </c>
      <c r="V18" s="5" t="s">
        <v>638</v>
      </c>
      <c r="W18" s="5" t="s">
        <v>639</v>
      </c>
      <c r="X18" s="5" t="s">
        <v>640</v>
      </c>
      <c r="Y18" s="16" t="s">
        <v>641</v>
      </c>
      <c r="Z18" s="16" t="s">
        <v>493</v>
      </c>
      <c r="AA18" s="16" t="s">
        <v>494</v>
      </c>
      <c r="AB18" s="16" t="s">
        <v>492</v>
      </c>
      <c r="AC18" s="5" t="s">
        <v>642</v>
      </c>
    </row>
    <row r="19" customFormat="false" ht="64.9" hidden="false" customHeight="false" outlineLevel="0" collapsed="false">
      <c r="A19" s="5" t="n">
        <v>18</v>
      </c>
      <c r="B19" s="5" t="s">
        <v>643</v>
      </c>
      <c r="C19" s="5" t="s">
        <v>644</v>
      </c>
      <c r="D19" s="5" t="s">
        <v>645</v>
      </c>
      <c r="E19" s="5" t="s">
        <v>488</v>
      </c>
      <c r="F19" s="5" t="s">
        <v>646</v>
      </c>
      <c r="G19" s="5" t="s">
        <v>490</v>
      </c>
      <c r="H19" s="5" t="s">
        <v>647</v>
      </c>
      <c r="I19" s="5" t="s">
        <v>492</v>
      </c>
      <c r="J19" s="5" t="s">
        <v>493</v>
      </c>
      <c r="K19" s="5" t="s">
        <v>495</v>
      </c>
      <c r="L19" s="5" t="s">
        <v>495</v>
      </c>
      <c r="M19" s="5" t="s">
        <v>648</v>
      </c>
      <c r="N19" s="5" t="s">
        <v>508</v>
      </c>
      <c r="O19" s="5" t="s">
        <v>133</v>
      </c>
      <c r="P19" s="5" t="n">
        <f aca="false">COUNTIFS(Oportunidades!$C$2:$C$71,$B19,Oportunidades!$H$2:$H$71,"Ganada")</f>
        <v>0</v>
      </c>
      <c r="Q19" s="5" t="n">
        <f aca="false">COUNTIFS(Oportunidades!$C$2:$C$71,$B19,Oportunidades!$H$2:$H$71,"Perdida")</f>
        <v>4</v>
      </c>
      <c r="R19" s="5" t="n">
        <f aca="false">COUNTIFS(Oportunidades!$C$2:$C$71,$B19,Oportunidades!$H$2:$H$71,"Abierta")</f>
        <v>0</v>
      </c>
      <c r="S19" s="5" t="n">
        <f aca="false">COUNTIFS(Oportunidades!$C$2:$C$71,$B19,Oportunidades!$H$2:$H$71,"Ganada",Oportunidades!$Z$2:$Z$71,"Elegible")</f>
        <v>0</v>
      </c>
      <c r="T19" s="5" t="n">
        <f aca="false">COUNTIFS(Oportunidades!$C$2:$C$71,$B19,Oportunidades!$H$2:$H$71,"Perdida",Oportunidades!$Z$2:$Z$71,"Elegible")</f>
        <v>4</v>
      </c>
      <c r="U19" s="15" t="str">
        <f aca="false">IF(P19=0,"-",_xlfn.MAXIFS(Oportunidades!$I$2:$I$71,Oportunidades!$C$2:$C$71,$B19,Oportunidades!$H$2:$H$71,"Ganada"))</f>
        <v>-</v>
      </c>
      <c r="V19" s="5" t="s">
        <v>649</v>
      </c>
      <c r="W19" s="5" t="s">
        <v>650</v>
      </c>
      <c r="X19" s="5" t="s">
        <v>651</v>
      </c>
      <c r="Y19" s="16" t="s">
        <v>652</v>
      </c>
      <c r="Z19" s="16" t="s">
        <v>493</v>
      </c>
      <c r="AA19" s="16" t="s">
        <v>494</v>
      </c>
      <c r="AB19" s="16" t="s">
        <v>492</v>
      </c>
      <c r="AC19" s="5" t="s">
        <v>653</v>
      </c>
    </row>
    <row r="20" customFormat="false" ht="77.6" hidden="false" customHeight="false" outlineLevel="0" collapsed="false">
      <c r="A20" s="5" t="n">
        <v>19</v>
      </c>
      <c r="B20" s="5" t="s">
        <v>654</v>
      </c>
      <c r="C20" s="5" t="s">
        <v>338</v>
      </c>
      <c r="D20" s="5" t="s">
        <v>208</v>
      </c>
      <c r="E20" s="5" t="s">
        <v>616</v>
      </c>
      <c r="F20" s="5" t="s">
        <v>655</v>
      </c>
      <c r="G20" s="5" t="s">
        <v>656</v>
      </c>
      <c r="H20" s="5" t="s">
        <v>657</v>
      </c>
      <c r="I20" s="5" t="s">
        <v>492</v>
      </c>
      <c r="J20" s="5" t="s">
        <v>493</v>
      </c>
      <c r="K20" s="5" t="s">
        <v>494</v>
      </c>
      <c r="L20" s="5" t="s">
        <v>495</v>
      </c>
      <c r="M20" s="5" t="s">
        <v>658</v>
      </c>
      <c r="N20" s="5" t="s">
        <v>508</v>
      </c>
      <c r="O20" s="5" t="s">
        <v>133</v>
      </c>
      <c r="P20" s="5" t="n">
        <f aca="false">COUNTIFS(Oportunidades!$C$2:$C$71,$B20,Oportunidades!$H$2:$H$71,"Ganada")</f>
        <v>2</v>
      </c>
      <c r="Q20" s="5" t="n">
        <f aca="false">COUNTIFS(Oportunidades!$C$2:$C$71,$B20,Oportunidades!$H$2:$H$71,"Perdida")</f>
        <v>0</v>
      </c>
      <c r="R20" s="5" t="n">
        <f aca="false">COUNTIFS(Oportunidades!$C$2:$C$71,$B20,Oportunidades!$H$2:$H$71,"Abierta")</f>
        <v>1</v>
      </c>
      <c r="S20" s="5" t="n">
        <f aca="false">COUNTIFS(Oportunidades!$C$2:$C$71,$B20,Oportunidades!$H$2:$H$71,"Ganada",Oportunidades!$Z$2:$Z$71,"Elegible")</f>
        <v>2</v>
      </c>
      <c r="T20" s="5" t="n">
        <f aca="false">COUNTIFS(Oportunidades!$C$2:$C$71,$B20,Oportunidades!$H$2:$H$71,"Perdida",Oportunidades!$Z$2:$Z$71,"Elegible")</f>
        <v>0</v>
      </c>
      <c r="U20" s="15" t="n">
        <f aca="false">IF(P20=0,"-",_xlfn.MAXIFS(Oportunidades!$I$2:$I$71,Oportunidades!$C$2:$C$71,$B20,Oportunidades!$H$2:$H$71,"Ganada"))</f>
        <v>44120</v>
      </c>
      <c r="V20" s="5" t="s">
        <v>659</v>
      </c>
      <c r="W20" s="5" t="s">
        <v>660</v>
      </c>
      <c r="X20" s="5" t="s">
        <v>661</v>
      </c>
      <c r="Y20" s="16" t="s">
        <v>662</v>
      </c>
      <c r="Z20" s="16" t="s">
        <v>493</v>
      </c>
      <c r="AA20" s="16" t="s">
        <v>494</v>
      </c>
      <c r="AB20" s="16" t="s">
        <v>492</v>
      </c>
      <c r="AC20" s="5" t="s">
        <v>663</v>
      </c>
    </row>
    <row r="21" customFormat="false" ht="52.2" hidden="false" customHeight="false" outlineLevel="0" collapsed="false">
      <c r="A21" s="5" t="n">
        <v>20</v>
      </c>
      <c r="B21" s="5" t="s">
        <v>212</v>
      </c>
      <c r="C21" s="5" t="s">
        <v>278</v>
      </c>
      <c r="D21" s="5" t="s">
        <v>208</v>
      </c>
      <c r="E21" s="5" t="s">
        <v>616</v>
      </c>
      <c r="F21" s="5" t="s">
        <v>664</v>
      </c>
      <c r="G21" s="5" t="s">
        <v>656</v>
      </c>
      <c r="H21" s="5" t="s">
        <v>665</v>
      </c>
      <c r="I21" s="5" t="s">
        <v>492</v>
      </c>
      <c r="J21" s="5" t="s">
        <v>493</v>
      </c>
      <c r="K21" s="5" t="s">
        <v>494</v>
      </c>
      <c r="L21" s="5" t="s">
        <v>495</v>
      </c>
      <c r="M21" s="5" t="s">
        <v>666</v>
      </c>
      <c r="N21" s="5" t="s">
        <v>667</v>
      </c>
      <c r="O21" s="5" t="s">
        <v>133</v>
      </c>
      <c r="P21" s="5" t="n">
        <f aca="false">COUNTIFS(Oportunidades!$C$2:$C$71,$B21,Oportunidades!$H$2:$H$71,"Ganada")</f>
        <v>1</v>
      </c>
      <c r="Q21" s="5" t="n">
        <f aca="false">COUNTIFS(Oportunidades!$C$2:$C$71,$B21,Oportunidades!$H$2:$H$71,"Perdida")</f>
        <v>0</v>
      </c>
      <c r="R21" s="5" t="n">
        <f aca="false">COUNTIFS(Oportunidades!$C$2:$C$71,$B21,Oportunidades!$H$2:$H$71,"Abierta")</f>
        <v>0</v>
      </c>
      <c r="S21" s="5" t="n">
        <f aca="false">COUNTIFS(Oportunidades!$C$2:$C$71,$B21,Oportunidades!$H$2:$H$71,"Ganada",Oportunidades!$Z$2:$Z$71,"Elegible")</f>
        <v>1</v>
      </c>
      <c r="T21" s="5" t="n">
        <f aca="false">COUNTIFS(Oportunidades!$C$2:$C$71,$B21,Oportunidades!$H$2:$H$71,"Perdida",Oportunidades!$Z$2:$Z$71,"Elegible")</f>
        <v>0</v>
      </c>
      <c r="U21" s="15" t="n">
        <f aca="false">IF(P21=0,"-",_xlfn.MAXIFS(Oportunidades!$I$2:$I$71,Oportunidades!$C$2:$C$71,$B21,Oportunidades!$H$2:$H$71,"Ganada"))</f>
        <v>45437</v>
      </c>
      <c r="V21" s="5" t="s">
        <v>659</v>
      </c>
      <c r="W21" s="5" t="s">
        <v>205</v>
      </c>
      <c r="X21" s="5" t="s">
        <v>668</v>
      </c>
      <c r="Y21" s="16" t="s">
        <v>669</v>
      </c>
      <c r="Z21" s="16" t="s">
        <v>493</v>
      </c>
      <c r="AA21" s="16" t="s">
        <v>494</v>
      </c>
      <c r="AB21" s="16" t="s">
        <v>492</v>
      </c>
      <c r="AC21" s="5" t="s">
        <v>670</v>
      </c>
    </row>
    <row r="22" customFormat="false" ht="64.9" hidden="false" customHeight="false" outlineLevel="0" collapsed="false">
      <c r="A22" s="5" t="n">
        <v>21</v>
      </c>
      <c r="B22" s="5" t="s">
        <v>230</v>
      </c>
      <c r="C22" s="5" t="s">
        <v>226</v>
      </c>
      <c r="D22" s="5" t="s">
        <v>227</v>
      </c>
      <c r="E22" s="5" t="s">
        <v>488</v>
      </c>
      <c r="F22" s="5" t="s">
        <v>671</v>
      </c>
      <c r="G22" s="5" t="s">
        <v>490</v>
      </c>
      <c r="H22" s="5" t="s">
        <v>491</v>
      </c>
      <c r="I22" s="5" t="s">
        <v>492</v>
      </c>
      <c r="J22" s="5" t="s">
        <v>493</v>
      </c>
      <c r="K22" s="5" t="s">
        <v>495</v>
      </c>
      <c r="L22" s="5" t="s">
        <v>495</v>
      </c>
      <c r="M22" s="5" t="s">
        <v>672</v>
      </c>
      <c r="N22" s="5" t="s">
        <v>508</v>
      </c>
      <c r="O22" s="5" t="s">
        <v>133</v>
      </c>
      <c r="P22" s="5" t="n">
        <f aca="false">COUNTIFS(Oportunidades!$C$2:$C$71,$B22,Oportunidades!$H$2:$H$71,"Ganada")</f>
        <v>0</v>
      </c>
      <c r="Q22" s="5" t="n">
        <f aca="false">COUNTIFS(Oportunidades!$C$2:$C$71,$B22,Oportunidades!$H$2:$H$71,"Perdida")</f>
        <v>1</v>
      </c>
      <c r="R22" s="5" t="n">
        <f aca="false">COUNTIFS(Oportunidades!$C$2:$C$71,$B22,Oportunidades!$H$2:$H$71,"Abierta")</f>
        <v>0</v>
      </c>
      <c r="S22" s="5" t="n">
        <f aca="false">COUNTIFS(Oportunidades!$C$2:$C$71,$B22,Oportunidades!$H$2:$H$71,"Ganada",Oportunidades!$Z$2:$Z$71,"Elegible")</f>
        <v>0</v>
      </c>
      <c r="T22" s="5" t="n">
        <f aca="false">COUNTIFS(Oportunidades!$C$2:$C$71,$B22,Oportunidades!$H$2:$H$71,"Perdida",Oportunidades!$Z$2:$Z$71,"Elegible")</f>
        <v>1</v>
      </c>
      <c r="U22" s="15" t="str">
        <f aca="false">IF(P22=0,"-",_xlfn.MAXIFS(Oportunidades!$I$2:$I$71,Oportunidades!$C$2:$C$71,$B22,Oportunidades!$H$2:$H$71,"Ganada"))</f>
        <v>-</v>
      </c>
      <c r="V22" s="5" t="s">
        <v>673</v>
      </c>
      <c r="W22" s="5" t="s">
        <v>223</v>
      </c>
      <c r="X22" s="5" t="s">
        <v>674</v>
      </c>
      <c r="Y22" s="16" t="s">
        <v>675</v>
      </c>
      <c r="Z22" s="16" t="s">
        <v>493</v>
      </c>
      <c r="AA22" s="16" t="s">
        <v>494</v>
      </c>
      <c r="AB22" s="16" t="s">
        <v>492</v>
      </c>
      <c r="AC22" s="5" t="s">
        <v>676</v>
      </c>
    </row>
  </sheetData>
  <autoFilter ref="A1:AC2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0"/>
    <col collapsed="false" customWidth="true" hidden="false" outlineLevel="0" max="5" min="5" style="0" width="18"/>
    <col collapsed="false" customWidth="true" hidden="false" outlineLevel="0" max="7" min="6" style="0" width="20"/>
    <col collapsed="false" customWidth="true" hidden="false" outlineLevel="0" max="8" min="8" style="0" width="12"/>
    <col collapsed="false" customWidth="true" hidden="false" outlineLevel="0" max="9" min="9" style="0" width="13"/>
    <col collapsed="false" customWidth="true" hidden="false" outlineLevel="0" max="10" min="10" style="0" width="50"/>
    <col collapsed="false" customWidth="true" hidden="false" outlineLevel="0" max="11" min="11" style="0" width="60"/>
  </cols>
  <sheetData>
    <row r="1" customFormat="false" ht="16.15" hidden="false" customHeight="false" outlineLevel="0" collapsed="false">
      <c r="A1" s="17" t="s">
        <v>677</v>
      </c>
    </row>
    <row r="2" customFormat="false" ht="55.5" hidden="false" customHeight="true" outlineLevel="0" collapsed="false">
      <c r="A2" s="2" t="s">
        <v>678</v>
      </c>
      <c r="B2" s="2"/>
      <c r="C2" s="2"/>
      <c r="D2" s="2"/>
      <c r="E2" s="2"/>
      <c r="F2" s="2"/>
      <c r="G2" s="2"/>
      <c r="H2" s="2"/>
      <c r="I2" s="2"/>
      <c r="J2" s="2"/>
      <c r="K2" s="2"/>
    </row>
    <row r="3" customFormat="false" ht="23.85" hidden="false" customHeight="false" outlineLevel="0" collapsed="false">
      <c r="A3" s="13" t="s">
        <v>679</v>
      </c>
      <c r="B3" s="18" t="s">
        <v>680</v>
      </c>
      <c r="C3" s="19" t="s">
        <v>681</v>
      </c>
      <c r="D3" s="20" t="str">
        <f aca="false">IF(B3="Solo Elegible","Elegible","*")</f>
        <v>Elegible</v>
      </c>
    </row>
    <row r="5" customFormat="false" ht="42" hidden="false" customHeight="true" outlineLevel="0" collapsed="false">
      <c r="A5" s="4" t="s">
        <v>467</v>
      </c>
      <c r="B5" s="4" t="s">
        <v>682</v>
      </c>
      <c r="C5" s="4" t="s">
        <v>683</v>
      </c>
      <c r="D5" s="4" t="s">
        <v>684</v>
      </c>
      <c r="E5" s="4" t="s">
        <v>36</v>
      </c>
      <c r="F5" s="4" t="s">
        <v>685</v>
      </c>
      <c r="G5" s="4" t="s">
        <v>686</v>
      </c>
      <c r="H5" s="4" t="s">
        <v>687</v>
      </c>
      <c r="I5" s="4" t="s">
        <v>688</v>
      </c>
      <c r="J5" s="4" t="s">
        <v>689</v>
      </c>
      <c r="K5" s="4" t="s">
        <v>690</v>
      </c>
    </row>
    <row r="6" customFormat="false" ht="26.85" hidden="false" customHeight="false" outlineLevel="0" collapsed="false">
      <c r="A6" s="5" t="s">
        <v>503</v>
      </c>
      <c r="B6" s="6" t="n">
        <f aca="false">COUNTIFS(Oportunidades!$E$2:$E$71,$A6,Oportunidades!$H$2:$H$71,"Ganada",Oportunidades!$D$2:$D$71,"Sí",Oportunidades!$Z$2:$Z$71,$D$3)</f>
        <v>14</v>
      </c>
      <c r="C6" s="6" t="n">
        <f aca="false">COUNTIFS(Oportunidades!$E$2:$E$71,$A6,Oportunidades!$H$2:$H$71,"Perdida",Oportunidades!$D$2:$D$71,"Sí",Oportunidades!$Z$2:$Z$71,$D$3)</f>
        <v>3</v>
      </c>
      <c r="D6" s="6" t="n">
        <f aca="false">COUNTIFS(Oportunidades!$E$2:$E$71,$A6,Oportunidades!$H$2:$H$71,"Abierta",Oportunidades!$D$2:$D$71,"Sí",Oportunidades!$Z$2:$Z$71,$D$3)</f>
        <v>0</v>
      </c>
      <c r="E6" s="8" t="n">
        <f aca="false">IF(B6+C6=0,"-",B6/(B6+C6))</f>
        <v>0.823529411764706</v>
      </c>
      <c r="F6" s="21" t="n">
        <f aca="false">SUMIFS(Oportunidades!$K$2:$K$71,Oportunidades!$E$2:$E$71,$A6,Oportunidades!$H$2:$H$71,"Ganada",Oportunidades!$D$2:$D$71,"Sí",Oportunidades!$Z$2:$Z$71,$D$3)</f>
        <v>6555549.42</v>
      </c>
      <c r="G6" s="21" t="n">
        <f aca="false">SUMIFS(Oportunidades!$K$2:$K$71,Oportunidades!$E$2:$E$71,$A6,Oportunidades!$H$2:$H$71,"Ganada",Oportunidades!$D$2:$D$71,"Sí",Oportunidades!$Z$2:$Z$71,$D$3,Oportunidades!$L$2:$L$71,"No")</f>
        <v>5282674.41</v>
      </c>
      <c r="H6" s="6" t="n">
        <f aca="false">IF(B6=0,"-",_xlfn.MINIFS(Oportunidades!$J$2:$J$71,Oportunidades!$E$2:$E$71,$A6,Oportunidades!$H$2:$H$71,"Ganada",Oportunidades!$D$2:$D$71,"Sí",Oportunidades!$Z$2:$Z$71,$D$3))</f>
        <v>2019</v>
      </c>
      <c r="I6" s="10" t="n">
        <f aca="false">IF(B6=0,"-",_xlfn.MAXIFS(Oportunidades!$I$2:$I$71,Oportunidades!$E$2:$E$71,$A6,Oportunidades!$H$2:$H$71,"Ganada",Oportunidades!$D$2:$D$71,"Sí",Oportunidades!$Z$2:$Z$71,$D$3))</f>
        <v>45463</v>
      </c>
      <c r="J6" s="5" t="s">
        <v>691</v>
      </c>
      <c r="K6" s="5" t="s">
        <v>692</v>
      </c>
    </row>
    <row r="7" customFormat="false" ht="15" hidden="false" customHeight="false" outlineLevel="0" collapsed="false">
      <c r="A7" s="5" t="s">
        <v>514</v>
      </c>
      <c r="B7" s="6" t="n">
        <f aca="false">COUNTIFS(Oportunidades!$E$2:$E$71,$A7,Oportunidades!$H$2:$H$71,"Ganada",Oportunidades!$D$2:$D$71,"Sí",Oportunidades!$Z$2:$Z$71,$D$3)</f>
        <v>10</v>
      </c>
      <c r="C7" s="6" t="n">
        <f aca="false">COUNTIFS(Oportunidades!$E$2:$E$71,$A7,Oportunidades!$H$2:$H$71,"Perdida",Oportunidades!$D$2:$D$71,"Sí",Oportunidades!$Z$2:$Z$71,$D$3)</f>
        <v>3</v>
      </c>
      <c r="D7" s="6" t="n">
        <f aca="false">COUNTIFS(Oportunidades!$E$2:$E$71,$A7,Oportunidades!$H$2:$H$71,"Abierta",Oportunidades!$D$2:$D$71,"Sí",Oportunidades!$Z$2:$Z$71,$D$3)</f>
        <v>0</v>
      </c>
      <c r="E7" s="8" t="n">
        <f aca="false">IF(B7+C7=0,"-",B7/(B7+C7))</f>
        <v>0.769230769230769</v>
      </c>
      <c r="F7" s="21" t="n">
        <f aca="false">SUMIFS(Oportunidades!$K$2:$K$71,Oportunidades!$E$2:$E$71,$A7,Oportunidades!$H$2:$H$71,"Ganada",Oportunidades!$D$2:$D$71,"Sí",Oportunidades!$Z$2:$Z$71,$D$3)</f>
        <v>2475322.22</v>
      </c>
      <c r="G7" s="21" t="n">
        <f aca="false">SUMIFS(Oportunidades!$K$2:$K$71,Oportunidades!$E$2:$E$71,$A7,Oportunidades!$H$2:$H$71,"Ganada",Oportunidades!$D$2:$D$71,"Sí",Oportunidades!$Z$2:$Z$71,$D$3,Oportunidades!$L$2:$L$71,"No")</f>
        <v>2475322.22</v>
      </c>
      <c r="H7" s="6" t="n">
        <f aca="false">IF(B7=0,"-",_xlfn.MINIFS(Oportunidades!$J$2:$J$71,Oportunidades!$E$2:$E$71,$A7,Oportunidades!$H$2:$H$71,"Ganada",Oportunidades!$D$2:$D$71,"Sí",Oportunidades!$Z$2:$Z$71,$D$3))</f>
        <v>2020</v>
      </c>
      <c r="I7" s="10" t="n">
        <f aca="false">IF(B7=0,"-",_xlfn.MAXIFS(Oportunidades!$I$2:$I$71,Oportunidades!$E$2:$E$71,$A7,Oportunidades!$H$2:$H$71,"Ganada",Oportunidades!$D$2:$D$71,"Sí",Oportunidades!$Z$2:$Z$71,$D$3))</f>
        <v>46216</v>
      </c>
      <c r="J7" s="5" t="s">
        <v>693</v>
      </c>
      <c r="K7" s="5" t="s">
        <v>694</v>
      </c>
    </row>
    <row r="8" customFormat="false" ht="15" hidden="false" customHeight="false" outlineLevel="0" collapsed="false">
      <c r="A8" s="5" t="s">
        <v>570</v>
      </c>
      <c r="B8" s="6" t="n">
        <f aca="false">COUNTIFS(Oportunidades!$E$2:$E$71,$A8,Oportunidades!$H$2:$H$71,"Ganada",Oportunidades!$D$2:$D$71,"Sí",Oportunidades!$Z$2:$Z$71,$D$3)</f>
        <v>0</v>
      </c>
      <c r="C8" s="6" t="n">
        <f aca="false">COUNTIFS(Oportunidades!$E$2:$E$71,$A8,Oportunidades!$H$2:$H$71,"Perdida",Oportunidades!$D$2:$D$71,"Sí",Oportunidades!$Z$2:$Z$71,$D$3)</f>
        <v>0</v>
      </c>
      <c r="D8" s="6" t="n">
        <f aca="false">COUNTIFS(Oportunidades!$E$2:$E$71,$A8,Oportunidades!$H$2:$H$71,"Abierta",Oportunidades!$D$2:$D$71,"Sí",Oportunidades!$Z$2:$Z$71,$D$3)</f>
        <v>0</v>
      </c>
      <c r="E8" s="8" t="str">
        <f aca="false">IF(B8+C8=0,"-",B8/(B8+C8))</f>
        <v>-</v>
      </c>
      <c r="F8" s="21" t="n">
        <f aca="false">SUMIFS(Oportunidades!$K$2:$K$71,Oportunidades!$E$2:$E$71,$A8,Oportunidades!$H$2:$H$71,"Ganada",Oportunidades!$D$2:$D$71,"Sí",Oportunidades!$Z$2:$Z$71,$D$3)</f>
        <v>0</v>
      </c>
      <c r="G8" s="21" t="n">
        <f aca="false">SUMIFS(Oportunidades!$K$2:$K$71,Oportunidades!$E$2:$E$71,$A8,Oportunidades!$H$2:$H$71,"Ganada",Oportunidades!$D$2:$D$71,"Sí",Oportunidades!$Z$2:$Z$71,$D$3,Oportunidades!$L$2:$L$71,"No")</f>
        <v>0</v>
      </c>
      <c r="H8" s="6" t="str">
        <f aca="false">IF(B8=0,"-",_xlfn.MINIFS(Oportunidades!$J$2:$J$71,Oportunidades!$E$2:$E$71,$A8,Oportunidades!$H$2:$H$71,"Ganada",Oportunidades!$D$2:$D$71,"Sí",Oportunidades!$Z$2:$Z$71,$D$3))</f>
        <v>-</v>
      </c>
      <c r="I8" s="10" t="str">
        <f aca="false">IF(B8=0,"-",_xlfn.MAXIFS(Oportunidades!$I$2:$I$71,Oportunidades!$E$2:$E$71,$A8,Oportunidades!$H$2:$H$71,"Ganada",Oportunidades!$D$2:$D$71,"Sí",Oportunidades!$Z$2:$Z$71,$D$3))</f>
        <v>-</v>
      </c>
      <c r="J8" s="5" t="s">
        <v>137</v>
      </c>
      <c r="K8" s="5" t="s">
        <v>137</v>
      </c>
    </row>
    <row r="9" customFormat="false" ht="26.85" hidden="false" customHeight="false" outlineLevel="0" collapsed="false">
      <c r="A9" s="5" t="s">
        <v>236</v>
      </c>
      <c r="B9" s="6" t="n">
        <f aca="false">COUNTIFS(Oportunidades!$E$2:$E$71,$A9,Oportunidades!$H$2:$H$71,"Ganada",Oportunidades!$D$2:$D$71,"Sí",Oportunidades!$Z$2:$Z$71,$D$3)</f>
        <v>4</v>
      </c>
      <c r="C9" s="6" t="n">
        <f aca="false">COUNTIFS(Oportunidades!$E$2:$E$71,$A9,Oportunidades!$H$2:$H$71,"Perdida",Oportunidades!$D$2:$D$71,"Sí",Oportunidades!$Z$2:$Z$71,$D$3)</f>
        <v>1</v>
      </c>
      <c r="D9" s="6" t="n">
        <f aca="false">COUNTIFS(Oportunidades!$E$2:$E$71,$A9,Oportunidades!$H$2:$H$71,"Abierta",Oportunidades!$D$2:$D$71,"Sí",Oportunidades!$Z$2:$Z$71,$D$3)</f>
        <v>0</v>
      </c>
      <c r="E9" s="8" t="n">
        <f aca="false">IF(B9+C9=0,"-",B9/(B9+C9))</f>
        <v>0.8</v>
      </c>
      <c r="F9" s="21" t="n">
        <f aca="false">SUMIFS(Oportunidades!$K$2:$K$71,Oportunidades!$E$2:$E$71,$A9,Oportunidades!$H$2:$H$71,"Ganada",Oportunidades!$D$2:$D$71,"Sí",Oportunidades!$Z$2:$Z$71,$D$3)</f>
        <v>993288.57</v>
      </c>
      <c r="G9" s="21" t="n">
        <f aca="false">SUMIFS(Oportunidades!$K$2:$K$71,Oportunidades!$E$2:$E$71,$A9,Oportunidades!$H$2:$H$71,"Ganada",Oportunidades!$D$2:$D$71,"Sí",Oportunidades!$Z$2:$Z$71,$D$3,Oportunidades!$L$2:$L$71,"No")</f>
        <v>993288.57</v>
      </c>
      <c r="H9" s="6" t="n">
        <f aca="false">IF(B9=0,"-",_xlfn.MINIFS(Oportunidades!$J$2:$J$71,Oportunidades!$E$2:$E$71,$A9,Oportunidades!$H$2:$H$71,"Ganada",Oportunidades!$D$2:$D$71,"Sí",Oportunidades!$Z$2:$Z$71,$D$3))</f>
        <v>2019</v>
      </c>
      <c r="I9" s="10" t="n">
        <f aca="false">IF(B9=0,"-",_xlfn.MAXIFS(Oportunidades!$I$2:$I$71,Oportunidades!$E$2:$E$71,$A9,Oportunidades!$H$2:$H$71,"Ganada",Oportunidades!$D$2:$D$71,"Sí",Oportunidades!$Z$2:$Z$71,$D$3))</f>
        <v>45378</v>
      </c>
      <c r="J9" s="5" t="s">
        <v>695</v>
      </c>
      <c r="K9" s="5" t="s">
        <v>696</v>
      </c>
    </row>
    <row r="10" customFormat="false" ht="26.85" hidden="false" customHeight="false" outlineLevel="0" collapsed="false">
      <c r="A10" s="5" t="s">
        <v>616</v>
      </c>
      <c r="B10" s="6" t="n">
        <f aca="false">COUNTIFS(Oportunidades!$E$2:$E$71,$A10,Oportunidades!$H$2:$H$71,"Ganada",Oportunidades!$D$2:$D$71,"Sí",Oportunidades!$Z$2:$Z$71,$D$3)</f>
        <v>3</v>
      </c>
      <c r="C10" s="6" t="n">
        <f aca="false">COUNTIFS(Oportunidades!$E$2:$E$71,$A10,Oportunidades!$H$2:$H$71,"Perdida",Oportunidades!$D$2:$D$71,"Sí",Oportunidades!$Z$2:$Z$71,$D$3)</f>
        <v>0</v>
      </c>
      <c r="D10" s="6" t="n">
        <f aca="false">COUNTIFS(Oportunidades!$E$2:$E$71,$A10,Oportunidades!$H$2:$H$71,"Abierta",Oportunidades!$D$2:$D$71,"Sí",Oportunidades!$Z$2:$Z$71,$D$3)</f>
        <v>1</v>
      </c>
      <c r="E10" s="8" t="n">
        <f aca="false">IF(B10+C10=0,"-",B10/(B10+C10))</f>
        <v>1</v>
      </c>
      <c r="F10" s="21" t="n">
        <f aca="false">SUMIFS(Oportunidades!$K$2:$K$71,Oportunidades!$E$2:$E$71,$A10,Oportunidades!$H$2:$H$71,"Ganada",Oportunidades!$D$2:$D$71,"Sí",Oportunidades!$Z$2:$Z$71,$D$3)</f>
        <v>566925.29</v>
      </c>
      <c r="G10" s="21" t="n">
        <f aca="false">SUMIFS(Oportunidades!$K$2:$K$71,Oportunidades!$E$2:$E$71,$A10,Oportunidades!$H$2:$H$71,"Ganada",Oportunidades!$D$2:$D$71,"Sí",Oportunidades!$Z$2:$Z$71,$D$3,Oportunidades!$L$2:$L$71,"No")</f>
        <v>566925.29</v>
      </c>
      <c r="H10" s="6" t="n">
        <f aca="false">IF(B10=0,"-",_xlfn.MINIFS(Oportunidades!$J$2:$J$71,Oportunidades!$E$2:$E$71,$A10,Oportunidades!$H$2:$H$71,"Ganada",Oportunidades!$D$2:$D$71,"Sí",Oportunidades!$Z$2:$Z$71,$D$3))</f>
        <v>2020</v>
      </c>
      <c r="I10" s="10" t="n">
        <f aca="false">IF(B10=0,"-",_xlfn.MAXIFS(Oportunidades!$I$2:$I$71,Oportunidades!$E$2:$E$71,$A10,Oportunidades!$H$2:$H$71,"Ganada",Oportunidades!$D$2:$D$71,"Sí",Oportunidades!$Z$2:$Z$71,$D$3))</f>
        <v>45437</v>
      </c>
      <c r="J10" s="5" t="s">
        <v>697</v>
      </c>
      <c r="K10" s="5" t="s">
        <v>698</v>
      </c>
    </row>
    <row r="11" customFormat="false" ht="15" hidden="false" customHeight="false" outlineLevel="0" collapsed="false">
      <c r="A11" s="5" t="s">
        <v>580</v>
      </c>
      <c r="B11" s="6" t="n">
        <f aca="false">COUNTIFS(Oportunidades!$E$2:$E$71,$A11,Oportunidades!$H$2:$H$71,"Ganada",Oportunidades!$D$2:$D$71,"Sí",Oportunidades!$Z$2:$Z$71,$D$3)</f>
        <v>0</v>
      </c>
      <c r="C11" s="6" t="n">
        <f aca="false">COUNTIFS(Oportunidades!$E$2:$E$71,$A11,Oportunidades!$H$2:$H$71,"Perdida",Oportunidades!$D$2:$D$71,"Sí",Oportunidades!$Z$2:$Z$71,$D$3)</f>
        <v>0</v>
      </c>
      <c r="D11" s="6" t="n">
        <f aca="false">COUNTIFS(Oportunidades!$E$2:$E$71,$A11,Oportunidades!$H$2:$H$71,"Abierta",Oportunidades!$D$2:$D$71,"Sí",Oportunidades!$Z$2:$Z$71,$D$3)</f>
        <v>0</v>
      </c>
      <c r="E11" s="8" t="str">
        <f aca="false">IF(B11+C11=0,"-",B11/(B11+C11))</f>
        <v>-</v>
      </c>
      <c r="F11" s="21" t="n">
        <f aca="false">SUMIFS(Oportunidades!$K$2:$K$71,Oportunidades!$E$2:$E$71,$A11,Oportunidades!$H$2:$H$71,"Ganada",Oportunidades!$D$2:$D$71,"Sí",Oportunidades!$Z$2:$Z$71,$D$3)</f>
        <v>0</v>
      </c>
      <c r="G11" s="21" t="n">
        <f aca="false">SUMIFS(Oportunidades!$K$2:$K$71,Oportunidades!$E$2:$E$71,$A11,Oportunidades!$H$2:$H$71,"Ganada",Oportunidades!$D$2:$D$71,"Sí",Oportunidades!$Z$2:$Z$71,$D$3,Oportunidades!$L$2:$L$71,"No")</f>
        <v>0</v>
      </c>
      <c r="H11" s="6" t="str">
        <f aca="false">IF(B11=0,"-",_xlfn.MINIFS(Oportunidades!$J$2:$J$71,Oportunidades!$E$2:$E$71,$A11,Oportunidades!$H$2:$H$71,"Ganada",Oportunidades!$D$2:$D$71,"Sí",Oportunidades!$Z$2:$Z$71,$D$3))</f>
        <v>-</v>
      </c>
      <c r="I11" s="10" t="str">
        <f aca="false">IF(B11=0,"-",_xlfn.MAXIFS(Oportunidades!$I$2:$I$71,Oportunidades!$E$2:$E$71,$A11,Oportunidades!$H$2:$H$71,"Ganada",Oportunidades!$D$2:$D$71,"Sí",Oportunidades!$Z$2:$Z$71,$D$3))</f>
        <v>-</v>
      </c>
      <c r="J11" s="5" t="s">
        <v>137</v>
      </c>
      <c r="K11" s="5" t="s">
        <v>137</v>
      </c>
    </row>
    <row r="12" customFormat="false" ht="15" hidden="false" customHeight="false" outlineLevel="0" collapsed="false">
      <c r="A12" s="5" t="s">
        <v>488</v>
      </c>
      <c r="B12" s="6" t="n">
        <f aca="false">COUNTIFS(Oportunidades!$E$2:$E$71,$A12,Oportunidades!$H$2:$H$71,"Ganada",Oportunidades!$D$2:$D$71,"Sí",Oportunidades!$Z$2:$Z$71,$D$3)</f>
        <v>0</v>
      </c>
      <c r="C12" s="6" t="n">
        <f aca="false">COUNTIFS(Oportunidades!$E$2:$E$71,$A12,Oportunidades!$H$2:$H$71,"Perdida",Oportunidades!$D$2:$D$71,"Sí",Oportunidades!$Z$2:$Z$71,$D$3)</f>
        <v>6</v>
      </c>
      <c r="D12" s="6" t="n">
        <f aca="false">COUNTIFS(Oportunidades!$E$2:$E$71,$A12,Oportunidades!$H$2:$H$71,"Abierta",Oportunidades!$D$2:$D$71,"Sí",Oportunidades!$Z$2:$Z$71,$D$3)</f>
        <v>0</v>
      </c>
      <c r="E12" s="8" t="n">
        <f aca="false">IF(B12+C12=0,"-",B12/(B12+C12))</f>
        <v>0</v>
      </c>
      <c r="F12" s="21" t="n">
        <f aca="false">SUMIFS(Oportunidades!$K$2:$K$71,Oportunidades!$E$2:$E$71,$A12,Oportunidades!$H$2:$H$71,"Ganada",Oportunidades!$D$2:$D$71,"Sí",Oportunidades!$Z$2:$Z$71,$D$3)</f>
        <v>0</v>
      </c>
      <c r="G12" s="21" t="n">
        <f aca="false">SUMIFS(Oportunidades!$K$2:$K$71,Oportunidades!$E$2:$E$71,$A12,Oportunidades!$H$2:$H$71,"Ganada",Oportunidades!$D$2:$D$71,"Sí",Oportunidades!$Z$2:$Z$71,$D$3,Oportunidades!$L$2:$L$71,"No")</f>
        <v>0</v>
      </c>
      <c r="H12" s="6" t="str">
        <f aca="false">IF(B12=0,"-",_xlfn.MINIFS(Oportunidades!$J$2:$J$71,Oportunidades!$E$2:$E$71,$A12,Oportunidades!$H$2:$H$71,"Ganada",Oportunidades!$D$2:$D$71,"Sí",Oportunidades!$Z$2:$Z$71,$D$3))</f>
        <v>-</v>
      </c>
      <c r="I12" s="10" t="str">
        <f aca="false">IF(B12=0,"-",_xlfn.MAXIFS(Oportunidades!$I$2:$I$71,Oportunidades!$E$2:$E$71,$A12,Oportunidades!$H$2:$H$71,"Ganada",Oportunidades!$D$2:$D$71,"Sí",Oportunidades!$Z$2:$Z$71,$D$3))</f>
        <v>-</v>
      </c>
      <c r="J12" s="5" t="s">
        <v>137</v>
      </c>
      <c r="K12" s="5" t="s">
        <v>137</v>
      </c>
    </row>
    <row r="13" customFormat="false" ht="15" hidden="false" customHeight="false" outlineLevel="0" collapsed="false">
      <c r="A13" s="5" t="s">
        <v>559</v>
      </c>
      <c r="B13" s="6" t="n">
        <f aca="false">COUNTIFS(Oportunidades!$E$2:$E$71,$A13,Oportunidades!$H$2:$H$71,"Ganada",Oportunidades!$D$2:$D$71,"Sí",Oportunidades!$Z$2:$Z$71,$D$3)</f>
        <v>0</v>
      </c>
      <c r="C13" s="6" t="n">
        <f aca="false">COUNTIFS(Oportunidades!$E$2:$E$71,$A13,Oportunidades!$H$2:$H$71,"Perdida",Oportunidades!$D$2:$D$71,"Sí",Oportunidades!$Z$2:$Z$71,$D$3)</f>
        <v>1</v>
      </c>
      <c r="D13" s="6" t="n">
        <f aca="false">COUNTIFS(Oportunidades!$E$2:$E$71,$A13,Oportunidades!$H$2:$H$71,"Abierta",Oportunidades!$D$2:$D$71,"Sí",Oportunidades!$Z$2:$Z$71,$D$3)</f>
        <v>0</v>
      </c>
      <c r="E13" s="8" t="n">
        <f aca="false">IF(B13+C13=0,"-",B13/(B13+C13))</f>
        <v>0</v>
      </c>
      <c r="F13" s="21" t="n">
        <f aca="false">SUMIFS(Oportunidades!$K$2:$K$71,Oportunidades!$E$2:$E$71,$A13,Oportunidades!$H$2:$H$71,"Ganada",Oportunidades!$D$2:$D$71,"Sí",Oportunidades!$Z$2:$Z$71,$D$3)</f>
        <v>0</v>
      </c>
      <c r="G13" s="21" t="n">
        <f aca="false">SUMIFS(Oportunidades!$K$2:$K$71,Oportunidades!$E$2:$E$71,$A13,Oportunidades!$H$2:$H$71,"Ganada",Oportunidades!$D$2:$D$71,"Sí",Oportunidades!$Z$2:$Z$71,$D$3,Oportunidades!$L$2:$L$71,"No")</f>
        <v>0</v>
      </c>
      <c r="H13" s="6" t="str">
        <f aca="false">IF(B13=0,"-",_xlfn.MINIFS(Oportunidades!$J$2:$J$71,Oportunidades!$E$2:$E$71,$A13,Oportunidades!$H$2:$H$71,"Ganada",Oportunidades!$D$2:$D$71,"Sí",Oportunidades!$Z$2:$Z$71,$D$3))</f>
        <v>-</v>
      </c>
      <c r="I13" s="10" t="str">
        <f aca="false">IF(B13=0,"-",_xlfn.MAXIFS(Oportunidades!$I$2:$I$71,Oportunidades!$E$2:$E$71,$A13,Oportunidades!$H$2:$H$71,"Ganada",Oportunidades!$D$2:$D$71,"Sí",Oportunidades!$Z$2:$Z$71,$D$3))</f>
        <v>-</v>
      </c>
      <c r="J13" s="5" t="s">
        <v>137</v>
      </c>
      <c r="K13" s="5" t="s">
        <v>137</v>
      </c>
    </row>
    <row r="14" customFormat="false" ht="15" hidden="false" customHeight="false" outlineLevel="0" collapsed="false">
      <c r="A14" s="5" t="s">
        <v>633</v>
      </c>
      <c r="B14" s="6" t="n">
        <f aca="false">COUNTIFS(Oportunidades!$E$2:$E$71,$A14,Oportunidades!$H$2:$H$71,"Ganada",Oportunidades!$D$2:$D$71,"Sí",Oportunidades!$Z$2:$Z$71,$D$3)</f>
        <v>0</v>
      </c>
      <c r="C14" s="6" t="n">
        <f aca="false">COUNTIFS(Oportunidades!$E$2:$E$71,$A14,Oportunidades!$H$2:$H$71,"Perdida",Oportunidades!$D$2:$D$71,"Sí",Oportunidades!$Z$2:$Z$71,$D$3)</f>
        <v>0</v>
      </c>
      <c r="D14" s="6" t="n">
        <f aca="false">COUNTIFS(Oportunidades!$E$2:$E$71,$A14,Oportunidades!$H$2:$H$71,"Abierta",Oportunidades!$D$2:$D$71,"Sí",Oportunidades!$Z$2:$Z$71,$D$3)</f>
        <v>0</v>
      </c>
      <c r="E14" s="8" t="str">
        <f aca="false">IF(B14+C14=0,"-",B14/(B14+C14))</f>
        <v>-</v>
      </c>
      <c r="F14" s="21" t="n">
        <f aca="false">SUMIFS(Oportunidades!$K$2:$K$71,Oportunidades!$E$2:$E$71,$A14,Oportunidades!$H$2:$H$71,"Ganada",Oportunidades!$D$2:$D$71,"Sí",Oportunidades!$Z$2:$Z$71,$D$3)</f>
        <v>0</v>
      </c>
      <c r="G14" s="21" t="n">
        <f aca="false">SUMIFS(Oportunidades!$K$2:$K$71,Oportunidades!$E$2:$E$71,$A14,Oportunidades!$H$2:$H$71,"Ganada",Oportunidades!$D$2:$D$71,"Sí",Oportunidades!$Z$2:$Z$71,$D$3,Oportunidades!$L$2:$L$71,"No")</f>
        <v>0</v>
      </c>
      <c r="H14" s="6" t="str">
        <f aca="false">IF(B14=0,"-",_xlfn.MINIFS(Oportunidades!$J$2:$J$71,Oportunidades!$E$2:$E$71,$A14,Oportunidades!$H$2:$H$71,"Ganada",Oportunidades!$D$2:$D$71,"Sí",Oportunidades!$Z$2:$Z$71,$D$3))</f>
        <v>-</v>
      </c>
      <c r="I14" s="10" t="str">
        <f aca="false">IF(B14=0,"-",_xlfn.MAXIFS(Oportunidades!$I$2:$I$71,Oportunidades!$E$2:$E$71,$A14,Oportunidades!$H$2:$H$71,"Ganada",Oportunidades!$D$2:$D$71,"Sí",Oportunidades!$Z$2:$Z$71,$D$3))</f>
        <v>-</v>
      </c>
      <c r="J14" s="5" t="s">
        <v>137</v>
      </c>
      <c r="K14" s="5" t="s">
        <v>137</v>
      </c>
    </row>
    <row r="15" customFormat="false" ht="15" hidden="false" customHeight="false" outlineLevel="0" collapsed="false">
      <c r="A15" s="5" t="s">
        <v>623</v>
      </c>
      <c r="B15" s="6" t="n">
        <f aca="false">COUNTIFS(Oportunidades!$E$2:$E$71,$A15,Oportunidades!$H$2:$H$71,"Ganada",Oportunidades!$D$2:$D$71,"Sí",Oportunidades!$Z$2:$Z$71,$D$3)</f>
        <v>0</v>
      </c>
      <c r="C15" s="6" t="n">
        <f aca="false">COUNTIFS(Oportunidades!$E$2:$E$71,$A15,Oportunidades!$H$2:$H$71,"Perdida",Oportunidades!$D$2:$D$71,"Sí",Oportunidades!$Z$2:$Z$71,$D$3)</f>
        <v>0</v>
      </c>
      <c r="D15" s="6" t="n">
        <f aca="false">COUNTIFS(Oportunidades!$E$2:$E$71,$A15,Oportunidades!$H$2:$H$71,"Abierta",Oportunidades!$D$2:$D$71,"Sí",Oportunidades!$Z$2:$Z$71,$D$3)</f>
        <v>0</v>
      </c>
      <c r="E15" s="8" t="str">
        <f aca="false">IF(B15+C15=0,"-",B15/(B15+C15))</f>
        <v>-</v>
      </c>
      <c r="F15" s="21" t="n">
        <f aca="false">SUMIFS(Oportunidades!$K$2:$K$71,Oportunidades!$E$2:$E$71,$A15,Oportunidades!$H$2:$H$71,"Ganada",Oportunidades!$D$2:$D$71,"Sí",Oportunidades!$Z$2:$Z$71,$D$3)</f>
        <v>0</v>
      </c>
      <c r="G15" s="21" t="n">
        <f aca="false">SUMIFS(Oportunidades!$K$2:$K$71,Oportunidades!$E$2:$E$71,$A15,Oportunidades!$H$2:$H$71,"Ganada",Oportunidades!$D$2:$D$71,"Sí",Oportunidades!$Z$2:$Z$71,$D$3,Oportunidades!$L$2:$L$71,"No")</f>
        <v>0</v>
      </c>
      <c r="H15" s="6" t="str">
        <f aca="false">IF(B15=0,"-",_xlfn.MINIFS(Oportunidades!$J$2:$J$71,Oportunidades!$E$2:$E$71,$A15,Oportunidades!$H$2:$H$71,"Ganada",Oportunidades!$D$2:$D$71,"Sí",Oportunidades!$Z$2:$Z$71,$D$3))</f>
        <v>-</v>
      </c>
      <c r="I15" s="10" t="str">
        <f aca="false">IF(B15=0,"-",_xlfn.MAXIFS(Oportunidades!$I$2:$I$71,Oportunidades!$E$2:$E$71,$A15,Oportunidades!$H$2:$H$71,"Ganada",Oportunidades!$D$2:$D$71,"Sí",Oportunidades!$Z$2:$Z$71,$D$3))</f>
        <v>-</v>
      </c>
      <c r="J15" s="5" t="s">
        <v>137</v>
      </c>
      <c r="K15" s="5" t="s">
        <v>137</v>
      </c>
    </row>
    <row r="16" customFormat="false" ht="15" hidden="false" customHeight="false" outlineLevel="0" collapsed="false">
      <c r="A16" s="22" t="s">
        <v>699</v>
      </c>
      <c r="B16" s="23" t="n">
        <f aca="false">SUM(B6:B15)</f>
        <v>31</v>
      </c>
      <c r="C16" s="23" t="n">
        <f aca="false">SUM(C6:C15)</f>
        <v>14</v>
      </c>
      <c r="D16" s="23" t="n">
        <f aca="false">SUM(D6:D15)</f>
        <v>1</v>
      </c>
      <c r="E16" s="24" t="n">
        <f aca="false">B16/(B16+C16)</f>
        <v>0.688888888888889</v>
      </c>
      <c r="F16" s="25" t="n">
        <f aca="false">SUM(F6:F15)</f>
        <v>10591085.5</v>
      </c>
      <c r="G16" s="25" t="n">
        <f aca="false">SUM(G6:G15)</f>
        <v>9318210.49</v>
      </c>
      <c r="H16" s="23"/>
      <c r="I16" s="23"/>
      <c r="J16" s="22"/>
      <c r="K16" s="22"/>
    </row>
    <row r="19" customFormat="false" ht="15" hidden="false" customHeight="false" outlineLevel="0" collapsed="false">
      <c r="A19" s="3" t="s">
        <v>700</v>
      </c>
    </row>
    <row r="20" customFormat="false" ht="42" hidden="false" customHeight="true" outlineLevel="0" collapsed="false">
      <c r="A20" s="4" t="s">
        <v>701</v>
      </c>
      <c r="B20" s="4" t="s">
        <v>682</v>
      </c>
      <c r="C20" s="4" t="s">
        <v>683</v>
      </c>
      <c r="D20" s="4" t="s">
        <v>684</v>
      </c>
      <c r="E20" s="4" t="s">
        <v>702</v>
      </c>
      <c r="F20" s="4" t="s">
        <v>685</v>
      </c>
    </row>
    <row r="21" customFormat="false" ht="15" hidden="false" customHeight="false" outlineLevel="0" collapsed="false">
      <c r="A21" s="5" t="s">
        <v>703</v>
      </c>
      <c r="B21" s="6" t="n">
        <f aca="false">COUNTIFS(Oportunidades!$P$2:$P$71,$A21,Oportunidades!$H$2:$H$71,"Ganada",Oportunidades!$D$2:$D$71,"Sí",Oportunidades!$Z$2:$Z$71,$D$3)</f>
        <v>23</v>
      </c>
      <c r="C21" s="6" t="n">
        <f aca="false">COUNTIFS(Oportunidades!$P$2:$P$71,$A21,Oportunidades!$H$2:$H$71,"Perdida",Oportunidades!$D$2:$D$71,"Sí",Oportunidades!$Z$2:$Z$71,$D$3)</f>
        <v>2</v>
      </c>
      <c r="D21" s="6" t="n">
        <f aca="false">COUNTIFS(Oportunidades!$P$2:$P$71,$A21,Oportunidades!$H$2:$H$71,"Abierta",Oportunidades!$D$2:$D$71,"Sí",Oportunidades!$Z$2:$Z$71,$D$3)</f>
        <v>1</v>
      </c>
      <c r="E21" s="8" t="n">
        <f aca="false">IF(B21+C21=0,"-",B21/(B21+C21))</f>
        <v>0.92</v>
      </c>
      <c r="F21" s="26" t="n">
        <f aca="false">SUMIFS(Oportunidades!$K$2:$K$71,Oportunidades!$P$2:$P$71,$A21,Oportunidades!$H$2:$H$71,"Ganada",Oportunidades!$D$2:$D$71,"Sí",Oportunidades!$Z$2:$Z$71,$D$3)</f>
        <v>9408540.71</v>
      </c>
    </row>
    <row r="22" customFormat="false" ht="26.85" hidden="false" customHeight="false" outlineLevel="0" collapsed="false">
      <c r="A22" s="5" t="s">
        <v>704</v>
      </c>
      <c r="B22" s="6" t="n">
        <f aca="false">COUNTIFS(Oportunidades!$P$2:$P$71,$A22,Oportunidades!$H$2:$H$71,"Ganada",Oportunidades!$D$2:$D$71,"Sí",Oportunidades!$Z$2:$Z$71,$D$3)</f>
        <v>1</v>
      </c>
      <c r="C22" s="6" t="n">
        <f aca="false">COUNTIFS(Oportunidades!$P$2:$P$71,$A22,Oportunidades!$H$2:$H$71,"Perdida",Oportunidades!$D$2:$D$71,"Sí",Oportunidades!$Z$2:$Z$71,$D$3)</f>
        <v>6</v>
      </c>
      <c r="D22" s="6" t="n">
        <f aca="false">COUNTIFS(Oportunidades!$P$2:$P$71,$A22,Oportunidades!$H$2:$H$71,"Abierta",Oportunidades!$D$2:$D$71,"Sí",Oportunidades!$Z$2:$Z$71,$D$3)</f>
        <v>0</v>
      </c>
      <c r="E22" s="8" t="n">
        <f aca="false">IF(B22+C22=0,"-",B22/(B22+C22))</f>
        <v>0.142857142857143</v>
      </c>
      <c r="F22" s="26" t="n">
        <f aca="false">SUMIFS(Oportunidades!$K$2:$K$71,Oportunidades!$P$2:$P$71,$A22,Oportunidades!$H$2:$H$71,"Ganada",Oportunidades!$D$2:$D$71,"Sí",Oportunidades!$Z$2:$Z$71,$D$3)</f>
        <v>103166.25</v>
      </c>
    </row>
    <row r="23" customFormat="false" ht="15" hidden="false" customHeight="false" outlineLevel="0" collapsed="false">
      <c r="A23" s="5" t="s">
        <v>705</v>
      </c>
      <c r="B23" s="6" t="n">
        <f aca="false">COUNTIFS(Oportunidades!$P$2:$P$71,$A23,Oportunidades!$H$2:$H$71,"Ganada",Oportunidades!$D$2:$D$71,"Sí",Oportunidades!$Z$2:$Z$71,$D$3)</f>
        <v>5</v>
      </c>
      <c r="C23" s="6" t="n">
        <f aca="false">COUNTIFS(Oportunidades!$P$2:$P$71,$A23,Oportunidades!$H$2:$H$71,"Perdida",Oportunidades!$D$2:$D$71,"Sí",Oportunidades!$Z$2:$Z$71,$D$3)</f>
        <v>1</v>
      </c>
      <c r="D23" s="6" t="n">
        <f aca="false">COUNTIFS(Oportunidades!$P$2:$P$71,$A23,Oportunidades!$H$2:$H$71,"Abierta",Oportunidades!$D$2:$D$71,"Sí",Oportunidades!$Z$2:$Z$71,$D$3)</f>
        <v>0</v>
      </c>
      <c r="E23" s="8" t="n">
        <f aca="false">IF(B23+C23=0,"-",B23/(B23+C23))</f>
        <v>0.833333333333333</v>
      </c>
      <c r="F23" s="26" t="n">
        <f aca="false">SUMIFS(Oportunidades!$K$2:$K$71,Oportunidades!$P$2:$P$71,$A23,Oportunidades!$H$2:$H$71,"Ganada",Oportunidades!$D$2:$D$71,"Sí",Oportunidades!$Z$2:$Z$71,$D$3)</f>
        <v>651385.46</v>
      </c>
    </row>
    <row r="24" customFormat="false" ht="15" hidden="false" customHeight="false" outlineLevel="0" collapsed="false">
      <c r="A24" s="5" t="s">
        <v>706</v>
      </c>
      <c r="B24" s="6" t="n">
        <f aca="false">COUNTIFS(Oportunidades!$P$2:$P$71,$A24,Oportunidades!$H$2:$H$71,"Ganada",Oportunidades!$D$2:$D$71,"Sí",Oportunidades!$Z$2:$Z$71,$D$3)</f>
        <v>1</v>
      </c>
      <c r="C24" s="6" t="n">
        <f aca="false">COUNTIFS(Oportunidades!$P$2:$P$71,$A24,Oportunidades!$H$2:$H$71,"Perdida",Oportunidades!$D$2:$D$71,"Sí",Oportunidades!$Z$2:$Z$71,$D$3)</f>
        <v>4</v>
      </c>
      <c r="D24" s="6" t="n">
        <f aca="false">COUNTIFS(Oportunidades!$P$2:$P$71,$A24,Oportunidades!$H$2:$H$71,"Abierta",Oportunidades!$D$2:$D$71,"Sí",Oportunidades!$Z$2:$Z$71,$D$3)</f>
        <v>0</v>
      </c>
      <c r="E24" s="8" t="n">
        <f aca="false">IF(B24+C24=0,"-",B24/(B24+C24))</f>
        <v>0.2</v>
      </c>
      <c r="F24" s="26" t="n">
        <f aca="false">SUMIFS(Oportunidades!$K$2:$K$71,Oportunidades!$P$2:$P$71,$A24,Oportunidades!$H$2:$H$71,"Ganada",Oportunidades!$D$2:$D$71,"Sí",Oportunidades!$Z$2:$Z$71,$D$3)</f>
        <v>288865.44</v>
      </c>
    </row>
    <row r="25" customFormat="false" ht="15" hidden="false" customHeight="false" outlineLevel="0" collapsed="false">
      <c r="A25" s="5" t="s">
        <v>707</v>
      </c>
      <c r="B25" s="6" t="n">
        <f aca="false">COUNTIFS(Oportunidades!$P$2:$P$71,$A25,Oportunidades!$H$2:$H$71,"Ganada",Oportunidades!$D$2:$D$71,"Sí",Oportunidades!$Z$2:$Z$71,$D$3)</f>
        <v>1</v>
      </c>
      <c r="C25" s="6" t="n">
        <f aca="false">COUNTIFS(Oportunidades!$P$2:$P$71,$A25,Oportunidades!$H$2:$H$71,"Perdida",Oportunidades!$D$2:$D$71,"Sí",Oportunidades!$Z$2:$Z$71,$D$3)</f>
        <v>1</v>
      </c>
      <c r="D25" s="6" t="n">
        <f aca="false">COUNTIFS(Oportunidades!$P$2:$P$71,$A25,Oportunidades!$H$2:$H$71,"Abierta",Oportunidades!$D$2:$D$71,"Sí",Oportunidades!$Z$2:$Z$71,$D$3)</f>
        <v>0</v>
      </c>
      <c r="E25" s="8" t="n">
        <f aca="false">IF(B25+C25=0,"-",B25/(B25+C25))</f>
        <v>0.5</v>
      </c>
      <c r="F25" s="26" t="n">
        <f aca="false">SUMIFS(Oportunidades!$K$2:$K$71,Oportunidades!$P$2:$P$71,$A25,Oportunidades!$H$2:$H$71,"Ganada",Oportunidades!$D$2:$D$71,"Sí",Oportunidades!$Z$2:$Z$71,$D$3)</f>
        <v>139127.64</v>
      </c>
    </row>
    <row r="28" customFormat="false" ht="15" hidden="false" customHeight="false" outlineLevel="0" collapsed="false">
      <c r="A28" s="3" t="s">
        <v>708</v>
      </c>
    </row>
    <row r="29" customFormat="false" ht="42" hidden="false" customHeight="true" outlineLevel="0" collapsed="false">
      <c r="A29" s="4" t="s">
        <v>709</v>
      </c>
      <c r="B29" s="4" t="s">
        <v>710</v>
      </c>
      <c r="C29" s="4" t="s">
        <v>711</v>
      </c>
      <c r="D29" s="4" t="s">
        <v>712</v>
      </c>
      <c r="E29" s="4" t="s">
        <v>713</v>
      </c>
      <c r="F29" s="4" t="s">
        <v>714</v>
      </c>
      <c r="G29" s="4" t="s">
        <v>715</v>
      </c>
      <c r="H29" s="4" t="s">
        <v>716</v>
      </c>
      <c r="I29" s="4" t="s">
        <v>717</v>
      </c>
    </row>
    <row r="30" customFormat="false" ht="15" hidden="false" customHeight="false" outlineLevel="0" collapsed="false">
      <c r="A30" s="5" t="s">
        <v>682</v>
      </c>
      <c r="B30" s="6" t="n">
        <f aca="false">COUNTIFS(Oportunidades!$J$2:$J$71,2019,Oportunidades!$H$2:$H$71,"Ganada",Oportunidades!$D$2:$D$71,"Sí",Oportunidades!$Z$2:$Z$71,$D$3)</f>
        <v>2</v>
      </c>
      <c r="C30" s="6" t="n">
        <f aca="false">COUNTIFS(Oportunidades!$J$2:$J$71,2020,Oportunidades!$H$2:$H$71,"Ganada",Oportunidades!$D$2:$D$71,"Sí",Oportunidades!$Z$2:$Z$71,$D$3)</f>
        <v>9</v>
      </c>
      <c r="D30" s="6" t="n">
        <f aca="false">COUNTIFS(Oportunidades!$J$2:$J$71,2021,Oportunidades!$H$2:$H$71,"Ganada",Oportunidades!$D$2:$D$71,"Sí",Oportunidades!$Z$2:$Z$71,$D$3)</f>
        <v>5</v>
      </c>
      <c r="E30" s="6" t="n">
        <f aca="false">COUNTIFS(Oportunidades!$J$2:$J$71,2022,Oportunidades!$H$2:$H$71,"Ganada",Oportunidades!$D$2:$D$71,"Sí",Oportunidades!$Z$2:$Z$71,$D$3)</f>
        <v>5</v>
      </c>
      <c r="F30" s="6" t="n">
        <f aca="false">COUNTIFS(Oportunidades!$J$2:$J$71,2023,Oportunidades!$H$2:$H$71,"Ganada",Oportunidades!$D$2:$D$71,"Sí",Oportunidades!$Z$2:$Z$71,$D$3)</f>
        <v>4</v>
      </c>
      <c r="G30" s="6" t="n">
        <f aca="false">COUNTIFS(Oportunidades!$J$2:$J$71,2024,Oportunidades!$H$2:$H$71,"Ganada",Oportunidades!$D$2:$D$71,"Sí",Oportunidades!$Z$2:$Z$71,$D$3)</f>
        <v>4</v>
      </c>
      <c r="H30" s="6" t="n">
        <f aca="false">COUNTIFS(Oportunidades!$J$2:$J$71,2025,Oportunidades!$H$2:$H$71,"Ganada",Oportunidades!$D$2:$D$71,"Sí",Oportunidades!$Z$2:$Z$71,$D$3)</f>
        <v>1</v>
      </c>
      <c r="I30" s="6" t="n">
        <f aca="false">COUNTIFS(Oportunidades!$J$2:$J$71,2026,Oportunidades!$H$2:$H$71,"Ganada",Oportunidades!$D$2:$D$71,"Sí",Oportunidades!$Z$2:$Z$71,$D$3)</f>
        <v>1</v>
      </c>
    </row>
    <row r="31" customFormat="false" ht="15" hidden="false" customHeight="false" outlineLevel="0" collapsed="false">
      <c r="A31" s="27" t="s">
        <v>718</v>
      </c>
    </row>
    <row r="34" customFormat="false" ht="15" hidden="false" customHeight="false" outlineLevel="0" collapsed="false">
      <c r="A34" s="3" t="s">
        <v>719</v>
      </c>
    </row>
    <row r="35" customFormat="false" ht="42" hidden="false" customHeight="true" outlineLevel="0" collapsed="false">
      <c r="A35" s="4" t="s">
        <v>720</v>
      </c>
      <c r="B35" s="4" t="s">
        <v>721</v>
      </c>
      <c r="C35" s="4" t="s">
        <v>467</v>
      </c>
      <c r="D35" s="4" t="s">
        <v>722</v>
      </c>
      <c r="E35" s="4" t="s">
        <v>723</v>
      </c>
      <c r="F35" s="4" t="s">
        <v>724</v>
      </c>
      <c r="G35" s="4" t="s">
        <v>725</v>
      </c>
    </row>
    <row r="36" customFormat="false" ht="153.7" hidden="false" customHeight="false" outlineLevel="0" collapsed="false">
      <c r="A36" s="28" t="s">
        <v>726</v>
      </c>
      <c r="B36" s="5" t="str">
        <f aca="false">INDEX(Oportunidades!$B$2:$B$71,MATCH($A36,Oportunidades!$A$2:$A$71,0))</f>
        <v>7.1 PTI- BACHOCO, S.A. DE C.V - Planta de alimentos division Bajio PT-V-BELTS-569067- RYASA QRO</v>
      </c>
      <c r="C36" s="5" t="str">
        <f aca="false">INDEX(Oportunidades!$E$2:$E$71,MATCH($A36,Oportunidades!$A$2:$A$71,0))</f>
        <v>Bajío (Celaya)</v>
      </c>
      <c r="D36" s="15" t="n">
        <f aca="false">INDEX(Oportunidades!$I$2:$I$71,MATCH($A36,Oportunidades!$A$2:$A$71,0))</f>
        <v>44741</v>
      </c>
      <c r="E36" s="26" t="n">
        <f aca="false">INDEX(Oportunidades!$K$2:$K$71,MATCH($A36,Oportunidades!$A$2:$A$71,0))</f>
        <v>963376.43</v>
      </c>
      <c r="F36" s="5" t="str">
        <f aca="false">INDEX(Oportunidades!$L$2:$L$71,MATCH($A36,Oportunidades!$A$2:$A$71,0))</f>
        <v>No</v>
      </c>
      <c r="G36" s="5" t="str">
        <f aca="false">INDEX(Oportunidades!$Z$2:$Z$71,MATCH($A36,Oportunidades!$A$2:$A$71,0))</f>
        <v>Elegible</v>
      </c>
    </row>
    <row r="37" customFormat="false" ht="64.9" hidden="false" customHeight="false" outlineLevel="0" collapsed="false">
      <c r="A37" s="28" t="s">
        <v>727</v>
      </c>
      <c r="B37" s="5" t="str">
        <f aca="false">INDEX(Oportunidades!$B$2:$B$71,MATCH($A37,Oportunidades!$A$2:$A$71,0))</f>
        <v>7.1 PTI-BACHOCO BAJIO-RYASA QRO</v>
      </c>
      <c r="C37" s="5" t="str">
        <f aca="false">INDEX(Oportunidades!$E$2:$E$71,MATCH($A37,Oportunidades!$A$2:$A$71,0))</f>
        <v>Bajío (Celaya)</v>
      </c>
      <c r="D37" s="15" t="n">
        <f aca="false">INDEX(Oportunidades!$I$2:$I$71,MATCH($A37,Oportunidades!$A$2:$A$71,0))</f>
        <v>44188</v>
      </c>
      <c r="E37" s="26" t="n">
        <f aca="false">INDEX(Oportunidades!$K$2:$K$71,MATCH($A37,Oportunidades!$A$2:$A$71,0))</f>
        <v>927517.91</v>
      </c>
      <c r="F37" s="5" t="str">
        <f aca="false">INDEX(Oportunidades!$L$2:$L$71,MATCH($A37,Oportunidades!$A$2:$A$71,0))</f>
        <v>No</v>
      </c>
      <c r="G37" s="5" t="str">
        <f aca="false">INDEX(Oportunidades!$Z$2:$Z$71,MATCH($A37,Oportunidades!$A$2:$A$71,0))</f>
        <v>Elegible</v>
      </c>
    </row>
    <row r="38" customFormat="false" ht="90.25" hidden="false" customHeight="false" outlineLevel="0" collapsed="false">
      <c r="A38" s="28" t="s">
        <v>728</v>
      </c>
      <c r="B38" s="5" t="str">
        <f aca="false">INDEX(Oportunidades!$B$2:$B$71,MATCH($A38,Oportunidades!$A$2:$A$71,0))</f>
        <v>7.1 V-Belts Bachoco Tecamachalco Lamuño Puebla.</v>
      </c>
      <c r="C38" s="5" t="str">
        <f aca="false">INDEX(Oportunidades!$E$2:$E$71,MATCH($A38,Oportunidades!$A$2:$A$71,0))</f>
        <v>Puebla (Tecamachalco)</v>
      </c>
      <c r="D38" s="15" t="n">
        <f aca="false">INDEX(Oportunidades!$I$2:$I$71,MATCH($A38,Oportunidades!$A$2:$A$71,0))</f>
        <v>44771</v>
      </c>
      <c r="E38" s="26" t="n">
        <f aca="false">INDEX(Oportunidades!$K$2:$K$71,MATCH($A38,Oportunidades!$A$2:$A$71,0))</f>
        <v>613057.77</v>
      </c>
      <c r="F38" s="5" t="str">
        <f aca="false">INDEX(Oportunidades!$L$2:$L$71,MATCH($A38,Oportunidades!$A$2:$A$71,0))</f>
        <v>No</v>
      </c>
      <c r="G38" s="5" t="str">
        <f aca="false">INDEX(Oportunidades!$Z$2:$Z$71,MATCH($A38,Oportunidades!$A$2:$A$71,0))</f>
        <v>Elegible</v>
      </c>
    </row>
    <row r="39" customFormat="false" ht="39.55" hidden="false" customHeight="false" outlineLevel="0" collapsed="false">
      <c r="A39" s="28" t="s">
        <v>729</v>
      </c>
      <c r="B39" s="5" t="str">
        <f aca="false">INDEX(Oportunidades!$B$2:$B$71,MATCH($A39,Oportunidades!$A$2:$A$71,0))</f>
        <v>2.2 Pti Bachoco RYASA</v>
      </c>
      <c r="C39" s="5" t="str">
        <f aca="false">INDEX(Oportunidades!$E$2:$E$71,MATCH($A39,Oportunidades!$A$2:$A$71,0))</f>
        <v>Bajío (Celaya)</v>
      </c>
      <c r="D39" s="15" t="n">
        <f aca="false">INDEX(Oportunidades!$I$2:$I$71,MATCH($A39,Oportunidades!$A$2:$A$71,0))</f>
        <v>44065</v>
      </c>
      <c r="E39" s="26" t="n">
        <f aca="false">INDEX(Oportunidades!$K$2:$K$71,MATCH($A39,Oportunidades!$A$2:$A$71,0))</f>
        <v>556510.74</v>
      </c>
      <c r="F39" s="5" t="str">
        <f aca="false">INDEX(Oportunidades!$L$2:$L$71,MATCH($A39,Oportunidades!$A$2:$A$71,0))</f>
        <v>No</v>
      </c>
      <c r="G39" s="5" t="str">
        <f aca="false">INDEX(Oportunidades!$Z$2:$Z$71,MATCH($A39,Oportunidades!$A$2:$A$71,0))</f>
        <v>Elegible</v>
      </c>
    </row>
    <row r="40" customFormat="false" ht="77.6" hidden="false" customHeight="false" outlineLevel="0" collapsed="false">
      <c r="A40" s="28" t="s">
        <v>730</v>
      </c>
      <c r="B40" s="5" t="str">
        <f aca="false">INDEX(Oportunidades!$B$2:$B$71,MATCH($A40,Oportunidades!$A$2:$A$71,0))</f>
        <v>7.1 V-Belts Bachoco Veracruz SNR Córdoba</v>
      </c>
      <c r="C40" s="5" t="str">
        <f aca="false">INDEX(Oportunidades!$E$2:$E$71,MATCH($A40,Oportunidades!$A$2:$A$71,0))</f>
        <v>Veracruz</v>
      </c>
      <c r="D40" s="15" t="n">
        <f aca="false">INDEX(Oportunidades!$I$2:$I$71,MATCH($A40,Oportunidades!$A$2:$A$71,0))</f>
        <v>45015</v>
      </c>
      <c r="E40" s="26" t="n">
        <f aca="false">INDEX(Oportunidades!$K$2:$K$71,MATCH($A40,Oportunidades!$A$2:$A$71,0))</f>
        <v>538004.45</v>
      </c>
      <c r="F40" s="5" t="str">
        <f aca="false">INDEX(Oportunidades!$L$2:$L$71,MATCH($A40,Oportunidades!$A$2:$A$71,0))</f>
        <v>No</v>
      </c>
      <c r="G40" s="5" t="str">
        <f aca="false">INDEX(Oportunidades!$Z$2:$Z$71,MATCH($A40,Oportunidades!$A$2:$A$71,0))</f>
        <v>Elegible</v>
      </c>
    </row>
    <row r="41" customFormat="false" ht="191.75" hidden="false" customHeight="false" outlineLevel="0" collapsed="false">
      <c r="A41" s="28" t="s">
        <v>731</v>
      </c>
      <c r="B41" s="5" t="str">
        <f aca="false">INDEX(Oportunidades!$B$2:$B$71,MATCH($A41,Oportunidades!$A$2:$A$71,0))</f>
        <v>7.1 V-Belts Bachoco, S.A. de  C.V. - Planta procesadora de aves Guanajuato - Guanajuato PT-V-BELTS-643201</v>
      </c>
      <c r="C41" s="5" t="str">
        <f aca="false">INDEX(Oportunidades!$E$2:$E$71,MATCH($A41,Oportunidades!$A$2:$A$71,0))</f>
        <v>Bajío (Celaya)</v>
      </c>
      <c r="D41" s="15" t="n">
        <f aca="false">INDEX(Oportunidades!$I$2:$I$71,MATCH($A41,Oportunidades!$A$2:$A$71,0))</f>
        <v>45043</v>
      </c>
      <c r="E41" s="26" t="n">
        <f aca="false">INDEX(Oportunidades!$K$2:$K$71,MATCH($A41,Oportunidades!$A$2:$A$71,0))</f>
        <v>538004.45</v>
      </c>
      <c r="F41" s="5" t="str">
        <f aca="false">INDEX(Oportunidades!$L$2:$L$71,MATCH($A41,Oportunidades!$A$2:$A$71,0))</f>
        <v>No</v>
      </c>
      <c r="G41" s="5" t="str">
        <f aca="false">INDEX(Oportunidades!$Z$2:$Z$71,MATCH($A41,Oportunidades!$A$2:$A$71,0))</f>
        <v>Elegible</v>
      </c>
    </row>
    <row r="42" customFormat="false" ht="217.15" hidden="false" customHeight="false" outlineLevel="0" collapsed="false">
      <c r="A42" s="28" t="s">
        <v>732</v>
      </c>
      <c r="B42" s="5" t="str">
        <f aca="false">INDEX(Oportunidades!$B$2:$B$71,MATCH($A42,Oportunidades!$A$2:$A$71,0))</f>
        <v>2.2 PTI Optibelt Bachoco, S.A. de  C.V. - Planta procesadora de aves Guanajuato - Guanajuato PT-V-BELTS-555451- Ryasa Qro.</v>
      </c>
      <c r="C42" s="5" t="str">
        <f aca="false">INDEX(Oportunidades!$E$2:$E$71,MATCH($A42,Oportunidades!$A$2:$A$71,0))</f>
        <v>Bajío (Celaya)</v>
      </c>
      <c r="D42" s="15" t="n">
        <f aca="false">INDEX(Oportunidades!$I$2:$I$71,MATCH($A42,Oportunidades!$A$2:$A$71,0))</f>
        <v>44589</v>
      </c>
      <c r="E42" s="26" t="n">
        <f aca="false">INDEX(Oportunidades!$K$2:$K$71,MATCH($A42,Oportunidades!$A$2:$A$71,0))</f>
        <v>525478.07</v>
      </c>
      <c r="F42" s="5" t="str">
        <f aca="false">INDEX(Oportunidades!$L$2:$L$71,MATCH($A42,Oportunidades!$A$2:$A$71,0))</f>
        <v>No</v>
      </c>
      <c r="G42" s="5" t="str">
        <f aca="false">INDEX(Oportunidades!$Z$2:$Z$71,MATCH($A42,Oportunidades!$A$2:$A$71,0))</f>
        <v>Elegible</v>
      </c>
    </row>
    <row r="43" customFormat="false" ht="217.15" hidden="false" customHeight="false" outlineLevel="0" collapsed="false">
      <c r="A43" s="28" t="s">
        <v>733</v>
      </c>
      <c r="B43" s="5" t="str">
        <f aca="false">INDEX(Oportunidades!$B$2:$B$71,MATCH($A43,Oportunidades!$A$2:$A$71,0))</f>
        <v>2.2 PTI Optibelt Bachoco, S.A. de  C.V. - Planta procesadora de aves Guanajuato - Guanajuato PT-V-BELTS-555609- Ryasa Qro</v>
      </c>
      <c r="C43" s="5" t="str">
        <f aca="false">INDEX(Oportunidades!$E$2:$E$71,MATCH($A43,Oportunidades!$A$2:$A$71,0))</f>
        <v>Bajío (Celaya)</v>
      </c>
      <c r="D43" s="15" t="n">
        <f aca="false">INDEX(Oportunidades!$I$2:$I$71,MATCH($A43,Oportunidades!$A$2:$A$71,0))</f>
        <v>44589</v>
      </c>
      <c r="E43" s="26" t="n">
        <f aca="false">INDEX(Oportunidades!$K$2:$K$71,MATCH($A43,Oportunidades!$A$2:$A$71,0))</f>
        <v>525478.07</v>
      </c>
      <c r="F43" s="5" t="str">
        <f aca="false">INDEX(Oportunidades!$L$2:$L$71,MATCH($A43,Oportunidades!$A$2:$A$71,0))</f>
        <v>Sí</v>
      </c>
      <c r="G43" s="5" t="str">
        <f aca="false">INDEX(Oportunidades!$Z$2:$Z$71,MATCH($A43,Oportunidades!$A$2:$A$71,0))</f>
        <v>Elegible</v>
      </c>
    </row>
    <row r="44" customFormat="false" ht="179.1" hidden="false" customHeight="false" outlineLevel="0" collapsed="false">
      <c r="A44" s="28" t="s">
        <v>734</v>
      </c>
      <c r="B44" s="5" t="str">
        <f aca="false">INDEX(Oportunidades!$B$2:$B$71,MATCH($A44,Oportunidades!$A$2:$A$71,0))</f>
        <v>7.1 Bachoco, S.A. de  C.V. - Planta procesadora de aves Guanajuato - Guanajuato PT-V-BELTS-521646</v>
      </c>
      <c r="C44" s="5" t="str">
        <f aca="false">INDEX(Oportunidades!$E$2:$E$71,MATCH($A44,Oportunidades!$A$2:$A$71,0))</f>
        <v>Bajío (Celaya)</v>
      </c>
      <c r="D44" s="15" t="n">
        <f aca="false">INDEX(Oportunidades!$I$2:$I$71,MATCH($A44,Oportunidades!$A$2:$A$71,0))</f>
        <v>44286</v>
      </c>
      <c r="E44" s="26" t="n">
        <f aca="false">INDEX(Oportunidades!$K$2:$K$71,MATCH($A44,Oportunidades!$A$2:$A$71,0))</f>
        <v>437898.36</v>
      </c>
      <c r="F44" s="5" t="str">
        <f aca="false">INDEX(Oportunidades!$L$2:$L$71,MATCH($A44,Oportunidades!$A$2:$A$71,0))</f>
        <v>No</v>
      </c>
      <c r="G44" s="5" t="str">
        <f aca="false">INDEX(Oportunidades!$Z$2:$Z$71,MATCH($A44,Oportunidades!$A$2:$A$71,0))</f>
        <v>Elegible</v>
      </c>
    </row>
    <row r="45" customFormat="false" ht="191.75" hidden="false" customHeight="false" outlineLevel="0" collapsed="false">
      <c r="A45" s="28" t="s">
        <v>735</v>
      </c>
      <c r="B45" s="5" t="str">
        <f aca="false">INDEX(Oportunidades!$B$2:$B$71,MATCH($A45,Oportunidades!$A$2:$A$71,0))</f>
        <v>2.2 PTI-Bachoco, S.A. de  C.V. - Planta procesadora de aves Guanajuato - Guanajuato PT-V-BELTS-Ryasa Qro</v>
      </c>
      <c r="C45" s="5" t="str">
        <f aca="false">INDEX(Oportunidades!$E$2:$E$71,MATCH($A45,Oportunidades!$A$2:$A$71,0))</f>
        <v>Bajío (Celaya)</v>
      </c>
      <c r="D45" s="15" t="n">
        <f aca="false">INDEX(Oportunidades!$I$2:$I$71,MATCH($A45,Oportunidades!$A$2:$A$71,0))</f>
        <v>44435</v>
      </c>
      <c r="E45" s="26" t="n">
        <f aca="false">INDEX(Oportunidades!$K$2:$K$71,MATCH($A45,Oportunidades!$A$2:$A$71,0))</f>
        <v>437898.36</v>
      </c>
      <c r="F45" s="5" t="str">
        <f aca="false">INDEX(Oportunidades!$L$2:$L$71,MATCH($A45,Oportunidades!$A$2:$A$71,0))</f>
        <v>Sí</v>
      </c>
      <c r="G45" s="5" t="str">
        <f aca="false">INDEX(Oportunidades!$Z$2:$Z$71,MATCH($A45,Oportunidades!$A$2:$A$71,0))</f>
        <v>Elegible</v>
      </c>
    </row>
    <row r="46" customFormat="false" ht="128.35" hidden="false" customHeight="false" outlineLevel="0" collapsed="false">
      <c r="A46" s="28" t="s">
        <v>736</v>
      </c>
      <c r="B46" s="5" t="str">
        <f aca="false">INDEX(Oportunidades!$B$2:$B$71,MATCH($A46,Oportunidades!$A$2:$A$71,0))</f>
        <v>7.1 V-Belts Tripower AX60 Bachoco Tecamachalco RILSA2000 Puebla.</v>
      </c>
      <c r="C46" s="5" t="str">
        <f aca="false">INDEX(Oportunidades!$E$2:$E$71,MATCH($A46,Oportunidades!$A$2:$A$71,0))</f>
        <v>Puebla (Tecamachalco)</v>
      </c>
      <c r="D46" s="15" t="n">
        <f aca="false">INDEX(Oportunidades!$I$2:$I$71,MATCH($A46,Oportunidades!$A$2:$A$71,0))</f>
        <v>46216</v>
      </c>
      <c r="E46" s="26" t="n">
        <f aca="false">INDEX(Oportunidades!$K$2:$K$71,MATCH($A46,Oportunidades!$A$2:$A$71,0))</f>
        <v>394199.93</v>
      </c>
      <c r="F46" s="5" t="str">
        <f aca="false">INDEX(Oportunidades!$L$2:$L$71,MATCH($A46,Oportunidades!$A$2:$A$71,0))</f>
        <v>No</v>
      </c>
      <c r="G46" s="5" t="str">
        <f aca="false">INDEX(Oportunidades!$Z$2:$Z$71,MATCH($A46,Oportunidades!$A$2:$A$71,0))</f>
        <v>Elegible</v>
      </c>
    </row>
    <row r="47" customFormat="false" ht="90.25" hidden="false" customHeight="false" outlineLevel="0" collapsed="false">
      <c r="A47" s="28" t="s">
        <v>737</v>
      </c>
      <c r="B47" s="5" t="str">
        <f aca="false">INDEX(Oportunidades!$B$2:$B$71,MATCH($A47,Oportunidades!$A$2:$A$71,0))</f>
        <v>2.2 V-Belts-Bachoco Tecamachalco Lamuño Puebla</v>
      </c>
      <c r="C47" s="5" t="str">
        <f aca="false">INDEX(Oportunidades!$E$2:$E$71,MATCH($A47,Oportunidades!$A$2:$A$71,0))</f>
        <v>Puebla (Tecamachalco)</v>
      </c>
      <c r="D47" s="15" t="n">
        <f aca="false">INDEX(Oportunidades!$I$2:$I$71,MATCH($A47,Oportunidades!$A$2:$A$71,0))</f>
        <v>44064</v>
      </c>
      <c r="E47" s="26" t="n">
        <f aca="false">INDEX(Oportunidades!$K$2:$K$71,MATCH($A47,Oportunidades!$A$2:$A$71,0))</f>
        <v>371007.16</v>
      </c>
      <c r="F47" s="5" t="str">
        <f aca="false">INDEX(Oportunidades!$L$2:$L$71,MATCH($A47,Oportunidades!$A$2:$A$71,0))</f>
        <v>No</v>
      </c>
      <c r="G47" s="5" t="str">
        <f aca="false">INDEX(Oportunidades!$Z$2:$Z$71,MATCH($A47,Oportunidades!$A$2:$A$71,0))</f>
        <v>Elegible</v>
      </c>
    </row>
  </sheetData>
  <mergeCells count="1">
    <mergeCell ref="A2:K2"/>
  </mergeCells>
  <dataValidations count="1">
    <dataValidation allowBlank="false" errorStyle="stop" operator="between" showDropDown="false" showErrorMessage="false" showInputMessage="false" sqref="B3" type="list">
      <formula1>"Solo Elegible,Todo el CRM"</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22"/>
  </cols>
  <sheetData>
    <row r="1" customFormat="false" ht="16.15" hidden="false" customHeight="false" outlineLevel="0" collapsed="false">
      <c r="A1" s="17" t="s">
        <v>738</v>
      </c>
    </row>
    <row r="2" customFormat="false" ht="55.5" hidden="false" customHeight="true" outlineLevel="0" collapsed="false">
      <c r="A2" s="2" t="s">
        <v>739</v>
      </c>
      <c r="B2" s="2"/>
      <c r="C2" s="2"/>
      <c r="D2" s="2"/>
      <c r="E2" s="2"/>
      <c r="F2" s="2"/>
      <c r="G2" s="2"/>
      <c r="H2" s="2"/>
    </row>
    <row r="3" customFormat="false" ht="15" hidden="false" customHeight="false" outlineLevel="0" collapsed="false">
      <c r="A3" s="13" t="s">
        <v>679</v>
      </c>
      <c r="B3" s="18" t="s">
        <v>680</v>
      </c>
      <c r="C3" s="19" t="s">
        <v>681</v>
      </c>
      <c r="D3" s="20" t="str">
        <f aca="false">IF(B3="Solo Elegible","Elegible","*")</f>
        <v>Elegible</v>
      </c>
    </row>
    <row r="5" customFormat="false" ht="15" hidden="false" customHeight="false" outlineLevel="0" collapsed="false">
      <c r="A5" s="3" t="s">
        <v>740</v>
      </c>
    </row>
    <row r="6" customFormat="false" ht="45.75" hidden="false" customHeight="true" outlineLevel="0" collapsed="false">
      <c r="A6" s="4" t="s">
        <v>467</v>
      </c>
      <c r="B6" s="4" t="s">
        <v>703</v>
      </c>
      <c r="C6" s="4" t="s">
        <v>704</v>
      </c>
      <c r="D6" s="4" t="s">
        <v>705</v>
      </c>
      <c r="E6" s="4" t="s">
        <v>706</v>
      </c>
      <c r="F6" s="4" t="s">
        <v>707</v>
      </c>
      <c r="G6" s="4" t="s">
        <v>699</v>
      </c>
    </row>
    <row r="7" customFormat="false" ht="15" hidden="false" customHeight="false" outlineLevel="0" collapsed="false">
      <c r="A7" s="5" t="s">
        <v>503</v>
      </c>
      <c r="B7" s="6" t="n">
        <f aca="false">COUNTIFS(Oportunidades!$E$2:$E$71,$A7,Oportunidades!$P$2:$P$71,B$6,Oportunidades!$H$2:$H$71,"Ganada",Oportunidades!$D$2:$D$71,"Sí",Oportunidades!$Z$2:$Z$71,$D$3)</f>
        <v>13</v>
      </c>
      <c r="C7" s="6" t="n">
        <f aca="false">COUNTIFS(Oportunidades!$E$2:$E$71,$A7,Oportunidades!$P$2:$P$71,C$6,Oportunidades!$H$2:$H$71,"Ganada",Oportunidades!$D$2:$D$71,"Sí",Oportunidades!$Z$2:$Z$71,$D$3)</f>
        <v>0</v>
      </c>
      <c r="D7" s="6" t="n">
        <f aca="false">COUNTIFS(Oportunidades!$E$2:$E$71,$A7,Oportunidades!$P$2:$P$71,D$6,Oportunidades!$H$2:$H$71,"Ganada",Oportunidades!$D$2:$D$71,"Sí",Oportunidades!$Z$2:$Z$71,$D$3)</f>
        <v>0</v>
      </c>
      <c r="E7" s="6" t="n">
        <f aca="false">COUNTIFS(Oportunidades!$E$2:$E$71,$A7,Oportunidades!$P$2:$P$71,E$6,Oportunidades!$H$2:$H$71,"Ganada",Oportunidades!$D$2:$D$71,"Sí",Oportunidades!$Z$2:$Z$71,$D$3)</f>
        <v>0</v>
      </c>
      <c r="F7" s="6" t="n">
        <f aca="false">COUNTIFS(Oportunidades!$E$2:$E$71,$A7,Oportunidades!$P$2:$P$71,F$6,Oportunidades!$H$2:$H$71,"Ganada",Oportunidades!$D$2:$D$71,"Sí",Oportunidades!$Z$2:$Z$71,$D$3)</f>
        <v>1</v>
      </c>
      <c r="G7" s="6" t="n">
        <f aca="false">SUM(B7:F7)</f>
        <v>14</v>
      </c>
    </row>
    <row r="8" customFormat="false" ht="15" hidden="false" customHeight="false" outlineLevel="0" collapsed="false">
      <c r="A8" s="5" t="s">
        <v>514</v>
      </c>
      <c r="B8" s="6" t="n">
        <f aca="false">COUNTIFS(Oportunidades!$E$2:$E$71,$A8,Oportunidades!$P$2:$P$71,B$6,Oportunidades!$H$2:$H$71,"Ganada",Oportunidades!$D$2:$D$71,"Sí",Oportunidades!$Z$2:$Z$71,$D$3)</f>
        <v>6</v>
      </c>
      <c r="C8" s="6" t="n">
        <f aca="false">COUNTIFS(Oportunidades!$E$2:$E$71,$A8,Oportunidades!$P$2:$P$71,C$6,Oportunidades!$H$2:$H$71,"Ganada",Oportunidades!$D$2:$D$71,"Sí",Oportunidades!$Z$2:$Z$71,$D$3)</f>
        <v>0</v>
      </c>
      <c r="D8" s="6" t="n">
        <f aca="false">COUNTIFS(Oportunidades!$E$2:$E$71,$A8,Oportunidades!$P$2:$P$71,D$6,Oportunidades!$H$2:$H$71,"Ganada",Oportunidades!$D$2:$D$71,"Sí",Oportunidades!$Z$2:$Z$71,$D$3)</f>
        <v>4</v>
      </c>
      <c r="E8" s="6" t="n">
        <f aca="false">COUNTIFS(Oportunidades!$E$2:$E$71,$A8,Oportunidades!$P$2:$P$71,E$6,Oportunidades!$H$2:$H$71,"Ganada",Oportunidades!$D$2:$D$71,"Sí",Oportunidades!$Z$2:$Z$71,$D$3)</f>
        <v>0</v>
      </c>
      <c r="F8" s="6" t="n">
        <f aca="false">COUNTIFS(Oportunidades!$E$2:$E$71,$A8,Oportunidades!$P$2:$P$71,F$6,Oportunidades!$H$2:$H$71,"Ganada",Oportunidades!$D$2:$D$71,"Sí",Oportunidades!$Z$2:$Z$71,$D$3)</f>
        <v>0</v>
      </c>
      <c r="G8" s="6" t="n">
        <f aca="false">SUM(B8:F8)</f>
        <v>10</v>
      </c>
    </row>
    <row r="9" customFormat="false" ht="15" hidden="false" customHeight="false" outlineLevel="0" collapsed="false">
      <c r="A9" s="5" t="s">
        <v>570</v>
      </c>
      <c r="B9" s="6" t="n">
        <f aca="false">COUNTIFS(Oportunidades!$E$2:$E$71,$A9,Oportunidades!$P$2:$P$71,B$6,Oportunidades!$H$2:$H$71,"Ganada",Oportunidades!$D$2:$D$71,"Sí",Oportunidades!$Z$2:$Z$71,$D$3)</f>
        <v>0</v>
      </c>
      <c r="C9" s="6" t="n">
        <f aca="false">COUNTIFS(Oportunidades!$E$2:$E$71,$A9,Oportunidades!$P$2:$P$71,C$6,Oportunidades!$H$2:$H$71,"Ganada",Oportunidades!$D$2:$D$71,"Sí",Oportunidades!$Z$2:$Z$71,$D$3)</f>
        <v>0</v>
      </c>
      <c r="D9" s="6" t="n">
        <f aca="false">COUNTIFS(Oportunidades!$E$2:$E$71,$A9,Oportunidades!$P$2:$P$71,D$6,Oportunidades!$H$2:$H$71,"Ganada",Oportunidades!$D$2:$D$71,"Sí",Oportunidades!$Z$2:$Z$71,$D$3)</f>
        <v>0</v>
      </c>
      <c r="E9" s="6" t="n">
        <f aca="false">COUNTIFS(Oportunidades!$E$2:$E$71,$A9,Oportunidades!$P$2:$P$71,E$6,Oportunidades!$H$2:$H$71,"Ganada",Oportunidades!$D$2:$D$71,"Sí",Oportunidades!$Z$2:$Z$71,$D$3)</f>
        <v>0</v>
      </c>
      <c r="F9" s="6" t="n">
        <f aca="false">COUNTIFS(Oportunidades!$E$2:$E$71,$A9,Oportunidades!$P$2:$P$71,F$6,Oportunidades!$H$2:$H$71,"Ganada",Oportunidades!$D$2:$D$71,"Sí",Oportunidades!$Z$2:$Z$71,$D$3)</f>
        <v>0</v>
      </c>
      <c r="G9" s="6" t="n">
        <f aca="false">SUM(B9:F9)</f>
        <v>0</v>
      </c>
    </row>
    <row r="10" customFormat="false" ht="15" hidden="false" customHeight="false" outlineLevel="0" collapsed="false">
      <c r="A10" s="5" t="s">
        <v>236</v>
      </c>
      <c r="B10" s="6" t="n">
        <f aca="false">COUNTIFS(Oportunidades!$E$2:$E$71,$A10,Oportunidades!$P$2:$P$71,B$6,Oportunidades!$H$2:$H$71,"Ganada",Oportunidades!$D$2:$D$71,"Sí",Oportunidades!$Z$2:$Z$71,$D$3)</f>
        <v>3</v>
      </c>
      <c r="C10" s="6" t="n">
        <f aca="false">COUNTIFS(Oportunidades!$E$2:$E$71,$A10,Oportunidades!$P$2:$P$71,C$6,Oportunidades!$H$2:$H$71,"Ganada",Oportunidades!$D$2:$D$71,"Sí",Oportunidades!$Z$2:$Z$71,$D$3)</f>
        <v>0</v>
      </c>
      <c r="D10" s="6" t="n">
        <f aca="false">COUNTIFS(Oportunidades!$E$2:$E$71,$A10,Oportunidades!$P$2:$P$71,D$6,Oportunidades!$H$2:$H$71,"Ganada",Oportunidades!$D$2:$D$71,"Sí",Oportunidades!$Z$2:$Z$71,$D$3)</f>
        <v>0</v>
      </c>
      <c r="E10" s="6" t="n">
        <f aca="false">COUNTIFS(Oportunidades!$E$2:$E$71,$A10,Oportunidades!$P$2:$P$71,E$6,Oportunidades!$H$2:$H$71,"Ganada",Oportunidades!$D$2:$D$71,"Sí",Oportunidades!$Z$2:$Z$71,$D$3)</f>
        <v>1</v>
      </c>
      <c r="F10" s="6" t="n">
        <f aca="false">COUNTIFS(Oportunidades!$E$2:$E$71,$A10,Oportunidades!$P$2:$P$71,F$6,Oportunidades!$H$2:$H$71,"Ganada",Oportunidades!$D$2:$D$71,"Sí",Oportunidades!$Z$2:$Z$71,$D$3)</f>
        <v>0</v>
      </c>
      <c r="G10" s="6" t="n">
        <f aca="false">SUM(B10:F10)</f>
        <v>4</v>
      </c>
    </row>
    <row r="11" customFormat="false" ht="15" hidden="false" customHeight="false" outlineLevel="0" collapsed="false">
      <c r="A11" s="5" t="s">
        <v>616</v>
      </c>
      <c r="B11" s="6" t="n">
        <f aca="false">COUNTIFS(Oportunidades!$E$2:$E$71,$A11,Oportunidades!$P$2:$P$71,B$6,Oportunidades!$H$2:$H$71,"Ganada",Oportunidades!$D$2:$D$71,"Sí",Oportunidades!$Z$2:$Z$71,$D$3)</f>
        <v>1</v>
      </c>
      <c r="C11" s="6" t="n">
        <f aca="false">COUNTIFS(Oportunidades!$E$2:$E$71,$A11,Oportunidades!$P$2:$P$71,C$6,Oportunidades!$H$2:$H$71,"Ganada",Oportunidades!$D$2:$D$71,"Sí",Oportunidades!$Z$2:$Z$71,$D$3)</f>
        <v>1</v>
      </c>
      <c r="D11" s="6" t="n">
        <f aca="false">COUNTIFS(Oportunidades!$E$2:$E$71,$A11,Oportunidades!$P$2:$P$71,D$6,Oportunidades!$H$2:$H$71,"Ganada",Oportunidades!$D$2:$D$71,"Sí",Oportunidades!$Z$2:$Z$71,$D$3)</f>
        <v>1</v>
      </c>
      <c r="E11" s="6" t="n">
        <f aca="false">COUNTIFS(Oportunidades!$E$2:$E$71,$A11,Oportunidades!$P$2:$P$71,E$6,Oportunidades!$H$2:$H$71,"Ganada",Oportunidades!$D$2:$D$71,"Sí",Oportunidades!$Z$2:$Z$71,$D$3)</f>
        <v>0</v>
      </c>
      <c r="F11" s="6" t="n">
        <f aca="false">COUNTIFS(Oportunidades!$E$2:$E$71,$A11,Oportunidades!$P$2:$P$71,F$6,Oportunidades!$H$2:$H$71,"Ganada",Oportunidades!$D$2:$D$71,"Sí",Oportunidades!$Z$2:$Z$71,$D$3)</f>
        <v>0</v>
      </c>
      <c r="G11" s="6" t="n">
        <f aca="false">SUM(B11:F11)</f>
        <v>3</v>
      </c>
    </row>
    <row r="12" customFormat="false" ht="15" hidden="false" customHeight="false" outlineLevel="0" collapsed="false">
      <c r="A12" s="5" t="s">
        <v>580</v>
      </c>
      <c r="B12" s="6" t="n">
        <f aca="false">COUNTIFS(Oportunidades!$E$2:$E$71,$A12,Oportunidades!$P$2:$P$71,B$6,Oportunidades!$H$2:$H$71,"Ganada",Oportunidades!$D$2:$D$71,"Sí",Oportunidades!$Z$2:$Z$71,$D$3)</f>
        <v>0</v>
      </c>
      <c r="C12" s="6" t="n">
        <f aca="false">COUNTIFS(Oportunidades!$E$2:$E$71,$A12,Oportunidades!$P$2:$P$71,C$6,Oportunidades!$H$2:$H$71,"Ganada",Oportunidades!$D$2:$D$71,"Sí",Oportunidades!$Z$2:$Z$71,$D$3)</f>
        <v>0</v>
      </c>
      <c r="D12" s="6" t="n">
        <f aca="false">COUNTIFS(Oportunidades!$E$2:$E$71,$A12,Oportunidades!$P$2:$P$71,D$6,Oportunidades!$H$2:$H$71,"Ganada",Oportunidades!$D$2:$D$71,"Sí",Oportunidades!$Z$2:$Z$71,$D$3)</f>
        <v>0</v>
      </c>
      <c r="E12" s="6" t="n">
        <f aca="false">COUNTIFS(Oportunidades!$E$2:$E$71,$A12,Oportunidades!$P$2:$P$71,E$6,Oportunidades!$H$2:$H$71,"Ganada",Oportunidades!$D$2:$D$71,"Sí",Oportunidades!$Z$2:$Z$71,$D$3)</f>
        <v>0</v>
      </c>
      <c r="F12" s="6" t="n">
        <f aca="false">COUNTIFS(Oportunidades!$E$2:$E$71,$A12,Oportunidades!$P$2:$P$71,F$6,Oportunidades!$H$2:$H$71,"Ganada",Oportunidades!$D$2:$D$71,"Sí",Oportunidades!$Z$2:$Z$71,$D$3)</f>
        <v>0</v>
      </c>
      <c r="G12" s="6" t="n">
        <f aca="false">SUM(B12:F12)</f>
        <v>0</v>
      </c>
    </row>
    <row r="13" customFormat="false" ht="15" hidden="false" customHeight="false" outlineLevel="0" collapsed="false">
      <c r="A13" s="5" t="s">
        <v>488</v>
      </c>
      <c r="B13" s="6" t="n">
        <f aca="false">COUNTIFS(Oportunidades!$E$2:$E$71,$A13,Oportunidades!$P$2:$P$71,B$6,Oportunidades!$H$2:$H$71,"Ganada",Oportunidades!$D$2:$D$71,"Sí",Oportunidades!$Z$2:$Z$71,$D$3)</f>
        <v>0</v>
      </c>
      <c r="C13" s="6" t="n">
        <f aca="false">COUNTIFS(Oportunidades!$E$2:$E$71,$A13,Oportunidades!$P$2:$P$71,C$6,Oportunidades!$H$2:$H$71,"Ganada",Oportunidades!$D$2:$D$71,"Sí",Oportunidades!$Z$2:$Z$71,$D$3)</f>
        <v>0</v>
      </c>
      <c r="D13" s="6" t="n">
        <f aca="false">COUNTIFS(Oportunidades!$E$2:$E$71,$A13,Oportunidades!$P$2:$P$71,D$6,Oportunidades!$H$2:$H$71,"Ganada",Oportunidades!$D$2:$D$71,"Sí",Oportunidades!$Z$2:$Z$71,$D$3)</f>
        <v>0</v>
      </c>
      <c r="E13" s="6" t="n">
        <f aca="false">COUNTIFS(Oportunidades!$E$2:$E$71,$A13,Oportunidades!$P$2:$P$71,E$6,Oportunidades!$H$2:$H$71,"Ganada",Oportunidades!$D$2:$D$71,"Sí",Oportunidades!$Z$2:$Z$71,$D$3)</f>
        <v>0</v>
      </c>
      <c r="F13" s="6" t="n">
        <f aca="false">COUNTIFS(Oportunidades!$E$2:$E$71,$A13,Oportunidades!$P$2:$P$71,F$6,Oportunidades!$H$2:$H$71,"Ganada",Oportunidades!$D$2:$D$71,"Sí",Oportunidades!$Z$2:$Z$71,$D$3)</f>
        <v>0</v>
      </c>
      <c r="G13" s="6" t="n">
        <f aca="false">SUM(B13:F13)</f>
        <v>0</v>
      </c>
    </row>
    <row r="14" customFormat="false" ht="15" hidden="false" customHeight="false" outlineLevel="0" collapsed="false">
      <c r="A14" s="5" t="s">
        <v>559</v>
      </c>
      <c r="B14" s="6" t="n">
        <f aca="false">COUNTIFS(Oportunidades!$E$2:$E$71,$A14,Oportunidades!$P$2:$P$71,B$6,Oportunidades!$H$2:$H$71,"Ganada",Oportunidades!$D$2:$D$71,"Sí",Oportunidades!$Z$2:$Z$71,$D$3)</f>
        <v>0</v>
      </c>
      <c r="C14" s="6" t="n">
        <f aca="false">COUNTIFS(Oportunidades!$E$2:$E$71,$A14,Oportunidades!$P$2:$P$71,C$6,Oportunidades!$H$2:$H$71,"Ganada",Oportunidades!$D$2:$D$71,"Sí",Oportunidades!$Z$2:$Z$71,$D$3)</f>
        <v>0</v>
      </c>
      <c r="D14" s="6" t="n">
        <f aca="false">COUNTIFS(Oportunidades!$E$2:$E$71,$A14,Oportunidades!$P$2:$P$71,D$6,Oportunidades!$H$2:$H$71,"Ganada",Oportunidades!$D$2:$D$71,"Sí",Oportunidades!$Z$2:$Z$71,$D$3)</f>
        <v>0</v>
      </c>
      <c r="E14" s="6" t="n">
        <f aca="false">COUNTIFS(Oportunidades!$E$2:$E$71,$A14,Oportunidades!$P$2:$P$71,E$6,Oportunidades!$H$2:$H$71,"Ganada",Oportunidades!$D$2:$D$71,"Sí",Oportunidades!$Z$2:$Z$71,$D$3)</f>
        <v>0</v>
      </c>
      <c r="F14" s="6" t="n">
        <f aca="false">COUNTIFS(Oportunidades!$E$2:$E$71,$A14,Oportunidades!$P$2:$P$71,F$6,Oportunidades!$H$2:$H$71,"Ganada",Oportunidades!$D$2:$D$71,"Sí",Oportunidades!$Z$2:$Z$71,$D$3)</f>
        <v>0</v>
      </c>
      <c r="G14" s="6" t="n">
        <f aca="false">SUM(B14:F14)</f>
        <v>0</v>
      </c>
    </row>
    <row r="15" customFormat="false" ht="15" hidden="false" customHeight="false" outlineLevel="0" collapsed="false">
      <c r="A15" s="5" t="s">
        <v>633</v>
      </c>
      <c r="B15" s="6" t="n">
        <f aca="false">COUNTIFS(Oportunidades!$E$2:$E$71,$A15,Oportunidades!$P$2:$P$71,B$6,Oportunidades!$H$2:$H$71,"Ganada",Oportunidades!$D$2:$D$71,"Sí",Oportunidades!$Z$2:$Z$71,$D$3)</f>
        <v>0</v>
      </c>
      <c r="C15" s="6" t="n">
        <f aca="false">COUNTIFS(Oportunidades!$E$2:$E$71,$A15,Oportunidades!$P$2:$P$71,C$6,Oportunidades!$H$2:$H$71,"Ganada",Oportunidades!$D$2:$D$71,"Sí",Oportunidades!$Z$2:$Z$71,$D$3)</f>
        <v>0</v>
      </c>
      <c r="D15" s="6" t="n">
        <f aca="false">COUNTIFS(Oportunidades!$E$2:$E$71,$A15,Oportunidades!$P$2:$P$71,D$6,Oportunidades!$H$2:$H$71,"Ganada",Oportunidades!$D$2:$D$71,"Sí",Oportunidades!$Z$2:$Z$71,$D$3)</f>
        <v>0</v>
      </c>
      <c r="E15" s="6" t="n">
        <f aca="false">COUNTIFS(Oportunidades!$E$2:$E$71,$A15,Oportunidades!$P$2:$P$71,E$6,Oportunidades!$H$2:$H$71,"Ganada",Oportunidades!$D$2:$D$71,"Sí",Oportunidades!$Z$2:$Z$71,$D$3)</f>
        <v>0</v>
      </c>
      <c r="F15" s="6" t="n">
        <f aca="false">COUNTIFS(Oportunidades!$E$2:$E$71,$A15,Oportunidades!$P$2:$P$71,F$6,Oportunidades!$H$2:$H$71,"Ganada",Oportunidades!$D$2:$D$71,"Sí",Oportunidades!$Z$2:$Z$71,$D$3)</f>
        <v>0</v>
      </c>
      <c r="G15" s="6" t="n">
        <f aca="false">SUM(B15:F15)</f>
        <v>0</v>
      </c>
    </row>
    <row r="16" customFormat="false" ht="15" hidden="false" customHeight="false" outlineLevel="0" collapsed="false">
      <c r="A16" s="5" t="s">
        <v>623</v>
      </c>
      <c r="B16" s="6" t="n">
        <f aca="false">COUNTIFS(Oportunidades!$E$2:$E$71,$A16,Oportunidades!$P$2:$P$71,B$6,Oportunidades!$H$2:$H$71,"Ganada",Oportunidades!$D$2:$D$71,"Sí",Oportunidades!$Z$2:$Z$71,$D$3)</f>
        <v>0</v>
      </c>
      <c r="C16" s="6" t="n">
        <f aca="false">COUNTIFS(Oportunidades!$E$2:$E$71,$A16,Oportunidades!$P$2:$P$71,C$6,Oportunidades!$H$2:$H$71,"Ganada",Oportunidades!$D$2:$D$71,"Sí",Oportunidades!$Z$2:$Z$71,$D$3)</f>
        <v>0</v>
      </c>
      <c r="D16" s="6" t="n">
        <f aca="false">COUNTIFS(Oportunidades!$E$2:$E$71,$A16,Oportunidades!$P$2:$P$71,D$6,Oportunidades!$H$2:$H$71,"Ganada",Oportunidades!$D$2:$D$71,"Sí",Oportunidades!$Z$2:$Z$71,$D$3)</f>
        <v>0</v>
      </c>
      <c r="E16" s="6" t="n">
        <f aca="false">COUNTIFS(Oportunidades!$E$2:$E$71,$A16,Oportunidades!$P$2:$P$71,E$6,Oportunidades!$H$2:$H$71,"Ganada",Oportunidades!$D$2:$D$71,"Sí",Oportunidades!$Z$2:$Z$71,$D$3)</f>
        <v>0</v>
      </c>
      <c r="F16" s="6" t="n">
        <f aca="false">COUNTIFS(Oportunidades!$E$2:$E$71,$A16,Oportunidades!$P$2:$P$71,F$6,Oportunidades!$H$2:$H$71,"Ganada",Oportunidades!$D$2:$D$71,"Sí",Oportunidades!$Z$2:$Z$71,$D$3)</f>
        <v>0</v>
      </c>
      <c r="G16" s="6" t="n">
        <f aca="false">SUM(B16:F16)</f>
        <v>0</v>
      </c>
    </row>
    <row r="17" customFormat="false" ht="15" hidden="false" customHeight="false" outlineLevel="0" collapsed="false">
      <c r="A17" s="22" t="s">
        <v>699</v>
      </c>
      <c r="B17" s="23" t="n">
        <f aca="false">SUM(B7:B16)</f>
        <v>23</v>
      </c>
      <c r="C17" s="23" t="n">
        <f aca="false">SUM(C7:C16)</f>
        <v>1</v>
      </c>
      <c r="D17" s="23" t="n">
        <f aca="false">SUM(D7:D16)</f>
        <v>5</v>
      </c>
      <c r="E17" s="23" t="n">
        <f aca="false">SUM(E7:E16)</f>
        <v>1</v>
      </c>
      <c r="F17" s="23" t="n">
        <f aca="false">SUM(F7:F16)</f>
        <v>1</v>
      </c>
      <c r="G17" s="23" t="n">
        <f aca="false">SUM(G7:G16)</f>
        <v>31</v>
      </c>
    </row>
    <row r="20" customFormat="false" ht="15" hidden="false" customHeight="false" outlineLevel="0" collapsed="false">
      <c r="A20" s="3" t="s">
        <v>741</v>
      </c>
    </row>
    <row r="21" customFormat="false" ht="45.75" hidden="false" customHeight="true" outlineLevel="0" collapsed="false">
      <c r="A21" s="4" t="s">
        <v>467</v>
      </c>
      <c r="B21" s="4" t="s">
        <v>703</v>
      </c>
      <c r="C21" s="4" t="s">
        <v>704</v>
      </c>
      <c r="D21" s="4" t="s">
        <v>705</v>
      </c>
      <c r="E21" s="4" t="s">
        <v>706</v>
      </c>
      <c r="F21" s="4" t="s">
        <v>707</v>
      </c>
      <c r="G21" s="4" t="s">
        <v>699</v>
      </c>
    </row>
    <row r="22" customFormat="false" ht="15" hidden="false" customHeight="false" outlineLevel="0" collapsed="false">
      <c r="A22" s="5" t="s">
        <v>503</v>
      </c>
      <c r="B22" s="6" t="n">
        <f aca="false">COUNTIFS(Oportunidades!$E$2:$E$71,$A22,Oportunidades!$P$2:$P$71,B$21,Oportunidades!$H$2:$H$71,"Perdida",Oportunidades!$D$2:$D$71,"Sí",Oportunidades!$Z$2:$Z$71,$D$3)</f>
        <v>0</v>
      </c>
      <c r="C22" s="6" t="n">
        <f aca="false">COUNTIFS(Oportunidades!$E$2:$E$71,$A22,Oportunidades!$P$2:$P$71,C$21,Oportunidades!$H$2:$H$71,"Perdida",Oportunidades!$D$2:$D$71,"Sí",Oportunidades!$Z$2:$Z$71,$D$3)</f>
        <v>2</v>
      </c>
      <c r="D22" s="6" t="n">
        <f aca="false">COUNTIFS(Oportunidades!$E$2:$E$71,$A22,Oportunidades!$P$2:$P$71,D$21,Oportunidades!$H$2:$H$71,"Perdida",Oportunidades!$D$2:$D$71,"Sí",Oportunidades!$Z$2:$Z$71,$D$3)</f>
        <v>0</v>
      </c>
      <c r="E22" s="6" t="n">
        <f aca="false">COUNTIFS(Oportunidades!$E$2:$E$71,$A22,Oportunidades!$P$2:$P$71,E$21,Oportunidades!$H$2:$H$71,"Perdida",Oportunidades!$D$2:$D$71,"Sí",Oportunidades!$Z$2:$Z$71,$D$3)</f>
        <v>0</v>
      </c>
      <c r="F22" s="6" t="n">
        <f aca="false">COUNTIFS(Oportunidades!$E$2:$E$71,$A22,Oportunidades!$P$2:$P$71,F$21,Oportunidades!$H$2:$H$71,"Perdida",Oportunidades!$D$2:$D$71,"Sí",Oportunidades!$Z$2:$Z$71,$D$3)</f>
        <v>1</v>
      </c>
      <c r="G22" s="6" t="n">
        <f aca="false">SUM(B22:F22)</f>
        <v>3</v>
      </c>
    </row>
    <row r="23" customFormat="false" ht="15" hidden="false" customHeight="false" outlineLevel="0" collapsed="false">
      <c r="A23" s="5" t="s">
        <v>514</v>
      </c>
      <c r="B23" s="6" t="n">
        <f aca="false">COUNTIFS(Oportunidades!$E$2:$E$71,$A23,Oportunidades!$P$2:$P$71,B$21,Oportunidades!$H$2:$H$71,"Perdida",Oportunidades!$D$2:$D$71,"Sí",Oportunidades!$Z$2:$Z$71,$D$3)</f>
        <v>1</v>
      </c>
      <c r="C23" s="6" t="n">
        <f aca="false">COUNTIFS(Oportunidades!$E$2:$E$71,$A23,Oportunidades!$P$2:$P$71,C$21,Oportunidades!$H$2:$H$71,"Perdida",Oportunidades!$D$2:$D$71,"Sí",Oportunidades!$Z$2:$Z$71,$D$3)</f>
        <v>0</v>
      </c>
      <c r="D23" s="6" t="n">
        <f aca="false">COUNTIFS(Oportunidades!$E$2:$E$71,$A23,Oportunidades!$P$2:$P$71,D$21,Oportunidades!$H$2:$H$71,"Perdida",Oportunidades!$D$2:$D$71,"Sí",Oportunidades!$Z$2:$Z$71,$D$3)</f>
        <v>1</v>
      </c>
      <c r="E23" s="6" t="n">
        <f aca="false">COUNTIFS(Oportunidades!$E$2:$E$71,$A23,Oportunidades!$P$2:$P$71,E$21,Oportunidades!$H$2:$H$71,"Perdida",Oportunidades!$D$2:$D$71,"Sí",Oportunidades!$Z$2:$Z$71,$D$3)</f>
        <v>1</v>
      </c>
      <c r="F23" s="6" t="n">
        <f aca="false">COUNTIFS(Oportunidades!$E$2:$E$71,$A23,Oportunidades!$P$2:$P$71,F$21,Oportunidades!$H$2:$H$71,"Perdida",Oportunidades!$D$2:$D$71,"Sí",Oportunidades!$Z$2:$Z$71,$D$3)</f>
        <v>0</v>
      </c>
      <c r="G23" s="6" t="n">
        <f aca="false">SUM(B23:F23)</f>
        <v>3</v>
      </c>
    </row>
    <row r="24" customFormat="false" ht="15" hidden="false" customHeight="false" outlineLevel="0" collapsed="false">
      <c r="A24" s="5" t="s">
        <v>570</v>
      </c>
      <c r="B24" s="6" t="n">
        <f aca="false">COUNTIFS(Oportunidades!$E$2:$E$71,$A24,Oportunidades!$P$2:$P$71,B$21,Oportunidades!$H$2:$H$71,"Perdida",Oportunidades!$D$2:$D$71,"Sí",Oportunidades!$Z$2:$Z$71,$D$3)</f>
        <v>0</v>
      </c>
      <c r="C24" s="6" t="n">
        <f aca="false">COUNTIFS(Oportunidades!$E$2:$E$71,$A24,Oportunidades!$P$2:$P$71,C$21,Oportunidades!$H$2:$H$71,"Perdida",Oportunidades!$D$2:$D$71,"Sí",Oportunidades!$Z$2:$Z$71,$D$3)</f>
        <v>0</v>
      </c>
      <c r="D24" s="6" t="n">
        <f aca="false">COUNTIFS(Oportunidades!$E$2:$E$71,$A24,Oportunidades!$P$2:$P$71,D$21,Oportunidades!$H$2:$H$71,"Perdida",Oportunidades!$D$2:$D$71,"Sí",Oportunidades!$Z$2:$Z$71,$D$3)</f>
        <v>0</v>
      </c>
      <c r="E24" s="6" t="n">
        <f aca="false">COUNTIFS(Oportunidades!$E$2:$E$71,$A24,Oportunidades!$P$2:$P$71,E$21,Oportunidades!$H$2:$H$71,"Perdida",Oportunidades!$D$2:$D$71,"Sí",Oportunidades!$Z$2:$Z$71,$D$3)</f>
        <v>0</v>
      </c>
      <c r="F24" s="6" t="n">
        <f aca="false">COUNTIFS(Oportunidades!$E$2:$E$71,$A24,Oportunidades!$P$2:$P$71,F$21,Oportunidades!$H$2:$H$71,"Perdida",Oportunidades!$D$2:$D$71,"Sí",Oportunidades!$Z$2:$Z$71,$D$3)</f>
        <v>0</v>
      </c>
      <c r="G24" s="6" t="n">
        <f aca="false">SUM(B24:F24)</f>
        <v>0</v>
      </c>
    </row>
    <row r="25" customFormat="false" ht="15" hidden="false" customHeight="false" outlineLevel="0" collapsed="false">
      <c r="A25" s="5" t="s">
        <v>236</v>
      </c>
      <c r="B25" s="6" t="n">
        <f aca="false">COUNTIFS(Oportunidades!$E$2:$E$71,$A25,Oportunidades!$P$2:$P$71,B$21,Oportunidades!$H$2:$H$71,"Perdida",Oportunidades!$D$2:$D$71,"Sí",Oportunidades!$Z$2:$Z$71,$D$3)</f>
        <v>0</v>
      </c>
      <c r="C25" s="6" t="n">
        <f aca="false">COUNTIFS(Oportunidades!$E$2:$E$71,$A25,Oportunidades!$P$2:$P$71,C$21,Oportunidades!$H$2:$H$71,"Perdida",Oportunidades!$D$2:$D$71,"Sí",Oportunidades!$Z$2:$Z$71,$D$3)</f>
        <v>0</v>
      </c>
      <c r="D25" s="6" t="n">
        <f aca="false">COUNTIFS(Oportunidades!$E$2:$E$71,$A25,Oportunidades!$P$2:$P$71,D$21,Oportunidades!$H$2:$H$71,"Perdida",Oportunidades!$D$2:$D$71,"Sí",Oportunidades!$Z$2:$Z$71,$D$3)</f>
        <v>0</v>
      </c>
      <c r="E25" s="6" t="n">
        <f aca="false">COUNTIFS(Oportunidades!$E$2:$E$71,$A25,Oportunidades!$P$2:$P$71,E$21,Oportunidades!$H$2:$H$71,"Perdida",Oportunidades!$D$2:$D$71,"Sí",Oportunidades!$Z$2:$Z$71,$D$3)</f>
        <v>1</v>
      </c>
      <c r="F25" s="6" t="n">
        <f aca="false">COUNTIFS(Oportunidades!$E$2:$E$71,$A25,Oportunidades!$P$2:$P$71,F$21,Oportunidades!$H$2:$H$71,"Perdida",Oportunidades!$D$2:$D$71,"Sí",Oportunidades!$Z$2:$Z$71,$D$3)</f>
        <v>0</v>
      </c>
      <c r="G25" s="6" t="n">
        <f aca="false">SUM(B25:F25)</f>
        <v>1</v>
      </c>
    </row>
    <row r="26" customFormat="false" ht="15" hidden="false" customHeight="false" outlineLevel="0" collapsed="false">
      <c r="A26" s="5" t="s">
        <v>616</v>
      </c>
      <c r="B26" s="6" t="n">
        <f aca="false">COUNTIFS(Oportunidades!$E$2:$E$71,$A26,Oportunidades!$P$2:$P$71,B$21,Oportunidades!$H$2:$H$71,"Perdida",Oportunidades!$D$2:$D$71,"Sí",Oportunidades!$Z$2:$Z$71,$D$3)</f>
        <v>0</v>
      </c>
      <c r="C26" s="6" t="n">
        <f aca="false">COUNTIFS(Oportunidades!$E$2:$E$71,$A26,Oportunidades!$P$2:$P$71,C$21,Oportunidades!$H$2:$H$71,"Perdida",Oportunidades!$D$2:$D$71,"Sí",Oportunidades!$Z$2:$Z$71,$D$3)</f>
        <v>0</v>
      </c>
      <c r="D26" s="6" t="n">
        <f aca="false">COUNTIFS(Oportunidades!$E$2:$E$71,$A26,Oportunidades!$P$2:$P$71,D$21,Oportunidades!$H$2:$H$71,"Perdida",Oportunidades!$D$2:$D$71,"Sí",Oportunidades!$Z$2:$Z$71,$D$3)</f>
        <v>0</v>
      </c>
      <c r="E26" s="6" t="n">
        <f aca="false">COUNTIFS(Oportunidades!$E$2:$E$71,$A26,Oportunidades!$P$2:$P$71,E$21,Oportunidades!$H$2:$H$71,"Perdida",Oportunidades!$D$2:$D$71,"Sí",Oportunidades!$Z$2:$Z$71,$D$3)</f>
        <v>0</v>
      </c>
      <c r="F26" s="6" t="n">
        <f aca="false">COUNTIFS(Oportunidades!$E$2:$E$71,$A26,Oportunidades!$P$2:$P$71,F$21,Oportunidades!$H$2:$H$71,"Perdida",Oportunidades!$D$2:$D$71,"Sí",Oportunidades!$Z$2:$Z$71,$D$3)</f>
        <v>0</v>
      </c>
      <c r="G26" s="6" t="n">
        <f aca="false">SUM(B26:F26)</f>
        <v>0</v>
      </c>
    </row>
    <row r="27" customFormat="false" ht="15" hidden="false" customHeight="false" outlineLevel="0" collapsed="false">
      <c r="A27" s="5" t="s">
        <v>580</v>
      </c>
      <c r="B27" s="6" t="n">
        <f aca="false">COUNTIFS(Oportunidades!$E$2:$E$71,$A27,Oportunidades!$P$2:$P$71,B$21,Oportunidades!$H$2:$H$71,"Perdida",Oportunidades!$D$2:$D$71,"Sí",Oportunidades!$Z$2:$Z$71,$D$3)</f>
        <v>0</v>
      </c>
      <c r="C27" s="6" t="n">
        <f aca="false">COUNTIFS(Oportunidades!$E$2:$E$71,$A27,Oportunidades!$P$2:$P$71,C$21,Oportunidades!$H$2:$H$71,"Perdida",Oportunidades!$D$2:$D$71,"Sí",Oportunidades!$Z$2:$Z$71,$D$3)</f>
        <v>0</v>
      </c>
      <c r="D27" s="6" t="n">
        <f aca="false">COUNTIFS(Oportunidades!$E$2:$E$71,$A27,Oportunidades!$P$2:$P$71,D$21,Oportunidades!$H$2:$H$71,"Perdida",Oportunidades!$D$2:$D$71,"Sí",Oportunidades!$Z$2:$Z$71,$D$3)</f>
        <v>0</v>
      </c>
      <c r="E27" s="6" t="n">
        <f aca="false">COUNTIFS(Oportunidades!$E$2:$E$71,$A27,Oportunidades!$P$2:$P$71,E$21,Oportunidades!$H$2:$H$71,"Perdida",Oportunidades!$D$2:$D$71,"Sí",Oportunidades!$Z$2:$Z$71,$D$3)</f>
        <v>0</v>
      </c>
      <c r="F27" s="6" t="n">
        <f aca="false">COUNTIFS(Oportunidades!$E$2:$E$71,$A27,Oportunidades!$P$2:$P$71,F$21,Oportunidades!$H$2:$H$71,"Perdida",Oportunidades!$D$2:$D$71,"Sí",Oportunidades!$Z$2:$Z$71,$D$3)</f>
        <v>0</v>
      </c>
      <c r="G27" s="6" t="n">
        <f aca="false">SUM(B27:F27)</f>
        <v>0</v>
      </c>
    </row>
    <row r="28" customFormat="false" ht="15" hidden="false" customHeight="false" outlineLevel="0" collapsed="false">
      <c r="A28" s="5" t="s">
        <v>488</v>
      </c>
      <c r="B28" s="6" t="n">
        <f aca="false">COUNTIFS(Oportunidades!$E$2:$E$71,$A28,Oportunidades!$P$2:$P$71,B$21,Oportunidades!$H$2:$H$71,"Perdida",Oportunidades!$D$2:$D$71,"Sí",Oportunidades!$Z$2:$Z$71,$D$3)</f>
        <v>1</v>
      </c>
      <c r="C28" s="6" t="n">
        <f aca="false">COUNTIFS(Oportunidades!$E$2:$E$71,$A28,Oportunidades!$P$2:$P$71,C$21,Oportunidades!$H$2:$H$71,"Perdida",Oportunidades!$D$2:$D$71,"Sí",Oportunidades!$Z$2:$Z$71,$D$3)</f>
        <v>3</v>
      </c>
      <c r="D28" s="6" t="n">
        <f aca="false">COUNTIFS(Oportunidades!$E$2:$E$71,$A28,Oportunidades!$P$2:$P$71,D$21,Oportunidades!$H$2:$H$71,"Perdida",Oportunidades!$D$2:$D$71,"Sí",Oportunidades!$Z$2:$Z$71,$D$3)</f>
        <v>0</v>
      </c>
      <c r="E28" s="6" t="n">
        <f aca="false">COUNTIFS(Oportunidades!$E$2:$E$71,$A28,Oportunidades!$P$2:$P$71,E$21,Oportunidades!$H$2:$H$71,"Perdida",Oportunidades!$D$2:$D$71,"Sí",Oportunidades!$Z$2:$Z$71,$D$3)</f>
        <v>2</v>
      </c>
      <c r="F28" s="6" t="n">
        <f aca="false">COUNTIFS(Oportunidades!$E$2:$E$71,$A28,Oportunidades!$P$2:$P$71,F$21,Oportunidades!$H$2:$H$71,"Perdida",Oportunidades!$D$2:$D$71,"Sí",Oportunidades!$Z$2:$Z$71,$D$3)</f>
        <v>0</v>
      </c>
      <c r="G28" s="6" t="n">
        <f aca="false">SUM(B28:F28)</f>
        <v>6</v>
      </c>
    </row>
    <row r="29" customFormat="false" ht="15" hidden="false" customHeight="false" outlineLevel="0" collapsed="false">
      <c r="A29" s="5" t="s">
        <v>559</v>
      </c>
      <c r="B29" s="6" t="n">
        <f aca="false">COUNTIFS(Oportunidades!$E$2:$E$71,$A29,Oportunidades!$P$2:$P$71,B$21,Oportunidades!$H$2:$H$71,"Perdida",Oportunidades!$D$2:$D$71,"Sí",Oportunidades!$Z$2:$Z$71,$D$3)</f>
        <v>0</v>
      </c>
      <c r="C29" s="6" t="n">
        <f aca="false">COUNTIFS(Oportunidades!$E$2:$E$71,$A29,Oportunidades!$P$2:$P$71,C$21,Oportunidades!$H$2:$H$71,"Perdida",Oportunidades!$D$2:$D$71,"Sí",Oportunidades!$Z$2:$Z$71,$D$3)</f>
        <v>1</v>
      </c>
      <c r="D29" s="6" t="n">
        <f aca="false">COUNTIFS(Oportunidades!$E$2:$E$71,$A29,Oportunidades!$P$2:$P$71,D$21,Oportunidades!$H$2:$H$71,"Perdida",Oportunidades!$D$2:$D$71,"Sí",Oportunidades!$Z$2:$Z$71,$D$3)</f>
        <v>0</v>
      </c>
      <c r="E29" s="6" t="n">
        <f aca="false">COUNTIFS(Oportunidades!$E$2:$E$71,$A29,Oportunidades!$P$2:$P$71,E$21,Oportunidades!$H$2:$H$71,"Perdida",Oportunidades!$D$2:$D$71,"Sí",Oportunidades!$Z$2:$Z$71,$D$3)</f>
        <v>0</v>
      </c>
      <c r="F29" s="6" t="n">
        <f aca="false">COUNTIFS(Oportunidades!$E$2:$E$71,$A29,Oportunidades!$P$2:$P$71,F$21,Oportunidades!$H$2:$H$71,"Perdida",Oportunidades!$D$2:$D$71,"Sí",Oportunidades!$Z$2:$Z$71,$D$3)</f>
        <v>0</v>
      </c>
      <c r="G29" s="6" t="n">
        <f aca="false">SUM(B29:F29)</f>
        <v>1</v>
      </c>
    </row>
    <row r="30" customFormat="false" ht="15" hidden="false" customHeight="false" outlineLevel="0" collapsed="false">
      <c r="A30" s="5" t="s">
        <v>633</v>
      </c>
      <c r="B30" s="6" t="n">
        <f aca="false">COUNTIFS(Oportunidades!$E$2:$E$71,$A30,Oportunidades!$P$2:$P$71,B$21,Oportunidades!$H$2:$H$71,"Perdida",Oportunidades!$D$2:$D$71,"Sí",Oportunidades!$Z$2:$Z$71,$D$3)</f>
        <v>0</v>
      </c>
      <c r="C30" s="6" t="n">
        <f aca="false">COUNTIFS(Oportunidades!$E$2:$E$71,$A30,Oportunidades!$P$2:$P$71,C$21,Oportunidades!$H$2:$H$71,"Perdida",Oportunidades!$D$2:$D$71,"Sí",Oportunidades!$Z$2:$Z$71,$D$3)</f>
        <v>0</v>
      </c>
      <c r="D30" s="6" t="n">
        <f aca="false">COUNTIFS(Oportunidades!$E$2:$E$71,$A30,Oportunidades!$P$2:$P$71,D$21,Oportunidades!$H$2:$H$71,"Perdida",Oportunidades!$D$2:$D$71,"Sí",Oportunidades!$Z$2:$Z$71,$D$3)</f>
        <v>0</v>
      </c>
      <c r="E30" s="6" t="n">
        <f aca="false">COUNTIFS(Oportunidades!$E$2:$E$71,$A30,Oportunidades!$P$2:$P$71,E$21,Oportunidades!$H$2:$H$71,"Perdida",Oportunidades!$D$2:$D$71,"Sí",Oportunidades!$Z$2:$Z$71,$D$3)</f>
        <v>0</v>
      </c>
      <c r="F30" s="6" t="n">
        <f aca="false">COUNTIFS(Oportunidades!$E$2:$E$71,$A30,Oportunidades!$P$2:$P$71,F$21,Oportunidades!$H$2:$H$71,"Perdida",Oportunidades!$D$2:$D$71,"Sí",Oportunidades!$Z$2:$Z$71,$D$3)</f>
        <v>0</v>
      </c>
      <c r="G30" s="6" t="n">
        <f aca="false">SUM(B30:F30)</f>
        <v>0</v>
      </c>
    </row>
    <row r="31" customFormat="false" ht="15" hidden="false" customHeight="false" outlineLevel="0" collapsed="false">
      <c r="A31" s="5" t="s">
        <v>623</v>
      </c>
      <c r="B31" s="6" t="n">
        <f aca="false">COUNTIFS(Oportunidades!$E$2:$E$71,$A31,Oportunidades!$P$2:$P$71,B$21,Oportunidades!$H$2:$H$71,"Perdida",Oportunidades!$D$2:$D$71,"Sí",Oportunidades!$Z$2:$Z$71,$D$3)</f>
        <v>0</v>
      </c>
      <c r="C31" s="6" t="n">
        <f aca="false">COUNTIFS(Oportunidades!$E$2:$E$71,$A31,Oportunidades!$P$2:$P$71,C$21,Oportunidades!$H$2:$H$71,"Perdida",Oportunidades!$D$2:$D$71,"Sí",Oportunidades!$Z$2:$Z$71,$D$3)</f>
        <v>0</v>
      </c>
      <c r="D31" s="6" t="n">
        <f aca="false">COUNTIFS(Oportunidades!$E$2:$E$71,$A31,Oportunidades!$P$2:$P$71,D$21,Oportunidades!$H$2:$H$71,"Perdida",Oportunidades!$D$2:$D$71,"Sí",Oportunidades!$Z$2:$Z$71,$D$3)</f>
        <v>0</v>
      </c>
      <c r="E31" s="6" t="n">
        <f aca="false">COUNTIFS(Oportunidades!$E$2:$E$71,$A31,Oportunidades!$P$2:$P$71,E$21,Oportunidades!$H$2:$H$71,"Perdida",Oportunidades!$D$2:$D$71,"Sí",Oportunidades!$Z$2:$Z$71,$D$3)</f>
        <v>0</v>
      </c>
      <c r="F31" s="6" t="n">
        <f aca="false">COUNTIFS(Oportunidades!$E$2:$E$71,$A31,Oportunidades!$P$2:$P$71,F$21,Oportunidades!$H$2:$H$71,"Perdida",Oportunidades!$D$2:$D$71,"Sí",Oportunidades!$Z$2:$Z$71,$D$3)</f>
        <v>0</v>
      </c>
      <c r="G31" s="6" t="n">
        <f aca="false">SUM(B31:F31)</f>
        <v>0</v>
      </c>
    </row>
    <row r="32" customFormat="false" ht="15" hidden="false" customHeight="false" outlineLevel="0" collapsed="false">
      <c r="A32" s="22" t="s">
        <v>699</v>
      </c>
      <c r="B32" s="23" t="n">
        <f aca="false">SUM(B22:B31)</f>
        <v>2</v>
      </c>
      <c r="C32" s="23" t="n">
        <f aca="false">SUM(C22:C31)</f>
        <v>6</v>
      </c>
      <c r="D32" s="23" t="n">
        <f aca="false">SUM(D22:D31)</f>
        <v>1</v>
      </c>
      <c r="E32" s="23" t="n">
        <f aca="false">SUM(E22:E31)</f>
        <v>4</v>
      </c>
      <c r="F32" s="23" t="n">
        <f aca="false">SUM(F22:F31)</f>
        <v>1</v>
      </c>
      <c r="G32" s="23" t="n">
        <f aca="false">SUM(G22:G31)</f>
        <v>14</v>
      </c>
    </row>
    <row r="35" customFormat="false" ht="15" hidden="false" customHeight="false" outlineLevel="0" collapsed="false">
      <c r="A35" s="3" t="s">
        <v>742</v>
      </c>
    </row>
    <row r="36" customFormat="false" ht="45.75" hidden="false" customHeight="true" outlineLevel="0" collapsed="false">
      <c r="A36" s="4" t="s">
        <v>467</v>
      </c>
      <c r="B36" s="4" t="s">
        <v>703</v>
      </c>
      <c r="C36" s="4" t="s">
        <v>704</v>
      </c>
      <c r="D36" s="4" t="s">
        <v>705</v>
      </c>
      <c r="E36" s="4" t="s">
        <v>706</v>
      </c>
      <c r="F36" s="4" t="s">
        <v>707</v>
      </c>
      <c r="G36" s="4" t="s">
        <v>699</v>
      </c>
    </row>
    <row r="37" customFormat="false" ht="15" hidden="false" customHeight="false" outlineLevel="0" collapsed="false">
      <c r="A37" s="5" t="s">
        <v>503</v>
      </c>
      <c r="B37" s="6" t="n">
        <f aca="false">COUNTIFS(Oportunidades!$E$2:$E$71,$A37,Oportunidades!$P$2:$P$71,B$36,Oportunidades!$H$2:$H$71,"Abierta",Oportunidades!$D$2:$D$71,"Sí",Oportunidades!$Z$2:$Z$71,$D$3)</f>
        <v>0</v>
      </c>
      <c r="C37" s="6" t="n">
        <f aca="false">COUNTIFS(Oportunidades!$E$2:$E$71,$A37,Oportunidades!$P$2:$P$71,C$36,Oportunidades!$H$2:$H$71,"Abierta",Oportunidades!$D$2:$D$71,"Sí",Oportunidades!$Z$2:$Z$71,$D$3)</f>
        <v>0</v>
      </c>
      <c r="D37" s="6" t="n">
        <f aca="false">COUNTIFS(Oportunidades!$E$2:$E$71,$A37,Oportunidades!$P$2:$P$71,D$36,Oportunidades!$H$2:$H$71,"Abierta",Oportunidades!$D$2:$D$71,"Sí",Oportunidades!$Z$2:$Z$71,$D$3)</f>
        <v>0</v>
      </c>
      <c r="E37" s="6" t="n">
        <f aca="false">COUNTIFS(Oportunidades!$E$2:$E$71,$A37,Oportunidades!$P$2:$P$71,E$36,Oportunidades!$H$2:$H$71,"Abierta",Oportunidades!$D$2:$D$71,"Sí",Oportunidades!$Z$2:$Z$71,$D$3)</f>
        <v>0</v>
      </c>
      <c r="F37" s="6" t="n">
        <f aca="false">COUNTIFS(Oportunidades!$E$2:$E$71,$A37,Oportunidades!$P$2:$P$71,F$36,Oportunidades!$H$2:$H$71,"Abierta",Oportunidades!$D$2:$D$71,"Sí",Oportunidades!$Z$2:$Z$71,$D$3)</f>
        <v>0</v>
      </c>
      <c r="G37" s="6" t="n">
        <f aca="false">SUM(B37:F37)</f>
        <v>0</v>
      </c>
    </row>
    <row r="38" customFormat="false" ht="15" hidden="false" customHeight="false" outlineLevel="0" collapsed="false">
      <c r="A38" s="5" t="s">
        <v>514</v>
      </c>
      <c r="B38" s="6" t="n">
        <f aca="false">COUNTIFS(Oportunidades!$E$2:$E$71,$A38,Oportunidades!$P$2:$P$71,B$36,Oportunidades!$H$2:$H$71,"Abierta",Oportunidades!$D$2:$D$71,"Sí",Oportunidades!$Z$2:$Z$71,$D$3)</f>
        <v>0</v>
      </c>
      <c r="C38" s="6" t="n">
        <f aca="false">COUNTIFS(Oportunidades!$E$2:$E$71,$A38,Oportunidades!$P$2:$P$71,C$36,Oportunidades!$H$2:$H$71,"Abierta",Oportunidades!$D$2:$D$71,"Sí",Oportunidades!$Z$2:$Z$71,$D$3)</f>
        <v>0</v>
      </c>
      <c r="D38" s="6" t="n">
        <f aca="false">COUNTIFS(Oportunidades!$E$2:$E$71,$A38,Oportunidades!$P$2:$P$71,D$36,Oportunidades!$H$2:$H$71,"Abierta",Oportunidades!$D$2:$D$71,"Sí",Oportunidades!$Z$2:$Z$71,$D$3)</f>
        <v>0</v>
      </c>
      <c r="E38" s="6" t="n">
        <f aca="false">COUNTIFS(Oportunidades!$E$2:$E$71,$A38,Oportunidades!$P$2:$P$71,E$36,Oportunidades!$H$2:$H$71,"Abierta",Oportunidades!$D$2:$D$71,"Sí",Oportunidades!$Z$2:$Z$71,$D$3)</f>
        <v>0</v>
      </c>
      <c r="F38" s="6" t="n">
        <f aca="false">COUNTIFS(Oportunidades!$E$2:$E$71,$A38,Oportunidades!$P$2:$P$71,F$36,Oportunidades!$H$2:$H$71,"Abierta",Oportunidades!$D$2:$D$71,"Sí",Oportunidades!$Z$2:$Z$71,$D$3)</f>
        <v>0</v>
      </c>
      <c r="G38" s="6" t="n">
        <f aca="false">SUM(B38:F38)</f>
        <v>0</v>
      </c>
    </row>
    <row r="39" customFormat="false" ht="15" hidden="false" customHeight="false" outlineLevel="0" collapsed="false">
      <c r="A39" s="5" t="s">
        <v>570</v>
      </c>
      <c r="B39" s="6" t="n">
        <f aca="false">COUNTIFS(Oportunidades!$E$2:$E$71,$A39,Oportunidades!$P$2:$P$71,B$36,Oportunidades!$H$2:$H$71,"Abierta",Oportunidades!$D$2:$D$71,"Sí",Oportunidades!$Z$2:$Z$71,$D$3)</f>
        <v>0</v>
      </c>
      <c r="C39" s="6" t="n">
        <f aca="false">COUNTIFS(Oportunidades!$E$2:$E$71,$A39,Oportunidades!$P$2:$P$71,C$36,Oportunidades!$H$2:$H$71,"Abierta",Oportunidades!$D$2:$D$71,"Sí",Oportunidades!$Z$2:$Z$71,$D$3)</f>
        <v>0</v>
      </c>
      <c r="D39" s="6" t="n">
        <f aca="false">COUNTIFS(Oportunidades!$E$2:$E$71,$A39,Oportunidades!$P$2:$P$71,D$36,Oportunidades!$H$2:$H$71,"Abierta",Oportunidades!$D$2:$D$71,"Sí",Oportunidades!$Z$2:$Z$71,$D$3)</f>
        <v>0</v>
      </c>
      <c r="E39" s="6" t="n">
        <f aca="false">COUNTIFS(Oportunidades!$E$2:$E$71,$A39,Oportunidades!$P$2:$P$71,E$36,Oportunidades!$H$2:$H$71,"Abierta",Oportunidades!$D$2:$D$71,"Sí",Oportunidades!$Z$2:$Z$71,$D$3)</f>
        <v>0</v>
      </c>
      <c r="F39" s="6" t="n">
        <f aca="false">COUNTIFS(Oportunidades!$E$2:$E$71,$A39,Oportunidades!$P$2:$P$71,F$36,Oportunidades!$H$2:$H$71,"Abierta",Oportunidades!$D$2:$D$71,"Sí",Oportunidades!$Z$2:$Z$71,$D$3)</f>
        <v>0</v>
      </c>
      <c r="G39" s="6" t="n">
        <f aca="false">SUM(B39:F39)</f>
        <v>0</v>
      </c>
    </row>
    <row r="40" customFormat="false" ht="15" hidden="false" customHeight="false" outlineLevel="0" collapsed="false">
      <c r="A40" s="5" t="s">
        <v>236</v>
      </c>
      <c r="B40" s="6" t="n">
        <f aca="false">COUNTIFS(Oportunidades!$E$2:$E$71,$A40,Oportunidades!$P$2:$P$71,B$36,Oportunidades!$H$2:$H$71,"Abierta",Oportunidades!$D$2:$D$71,"Sí",Oportunidades!$Z$2:$Z$71,$D$3)</f>
        <v>0</v>
      </c>
      <c r="C40" s="6" t="n">
        <f aca="false">COUNTIFS(Oportunidades!$E$2:$E$71,$A40,Oportunidades!$P$2:$P$71,C$36,Oportunidades!$H$2:$H$71,"Abierta",Oportunidades!$D$2:$D$71,"Sí",Oportunidades!$Z$2:$Z$71,$D$3)</f>
        <v>0</v>
      </c>
      <c r="D40" s="6" t="n">
        <f aca="false">COUNTIFS(Oportunidades!$E$2:$E$71,$A40,Oportunidades!$P$2:$P$71,D$36,Oportunidades!$H$2:$H$71,"Abierta",Oportunidades!$D$2:$D$71,"Sí",Oportunidades!$Z$2:$Z$71,$D$3)</f>
        <v>0</v>
      </c>
      <c r="E40" s="6" t="n">
        <f aca="false">COUNTIFS(Oportunidades!$E$2:$E$71,$A40,Oportunidades!$P$2:$P$71,E$36,Oportunidades!$H$2:$H$71,"Abierta",Oportunidades!$D$2:$D$71,"Sí",Oportunidades!$Z$2:$Z$71,$D$3)</f>
        <v>0</v>
      </c>
      <c r="F40" s="6" t="n">
        <f aca="false">COUNTIFS(Oportunidades!$E$2:$E$71,$A40,Oportunidades!$P$2:$P$71,F$36,Oportunidades!$H$2:$H$71,"Abierta",Oportunidades!$D$2:$D$71,"Sí",Oportunidades!$Z$2:$Z$71,$D$3)</f>
        <v>0</v>
      </c>
      <c r="G40" s="6" t="n">
        <f aca="false">SUM(B40:F40)</f>
        <v>0</v>
      </c>
    </row>
    <row r="41" customFormat="false" ht="15" hidden="false" customHeight="false" outlineLevel="0" collapsed="false">
      <c r="A41" s="5" t="s">
        <v>616</v>
      </c>
      <c r="B41" s="6" t="n">
        <f aca="false">COUNTIFS(Oportunidades!$E$2:$E$71,$A41,Oportunidades!$P$2:$P$71,B$36,Oportunidades!$H$2:$H$71,"Abierta",Oportunidades!$D$2:$D$71,"Sí",Oportunidades!$Z$2:$Z$71,$D$3)</f>
        <v>1</v>
      </c>
      <c r="C41" s="6" t="n">
        <f aca="false">COUNTIFS(Oportunidades!$E$2:$E$71,$A41,Oportunidades!$P$2:$P$71,C$36,Oportunidades!$H$2:$H$71,"Abierta",Oportunidades!$D$2:$D$71,"Sí",Oportunidades!$Z$2:$Z$71,$D$3)</f>
        <v>0</v>
      </c>
      <c r="D41" s="6" t="n">
        <f aca="false">COUNTIFS(Oportunidades!$E$2:$E$71,$A41,Oportunidades!$P$2:$P$71,D$36,Oportunidades!$H$2:$H$71,"Abierta",Oportunidades!$D$2:$D$71,"Sí",Oportunidades!$Z$2:$Z$71,$D$3)</f>
        <v>0</v>
      </c>
      <c r="E41" s="6" t="n">
        <f aca="false">COUNTIFS(Oportunidades!$E$2:$E$71,$A41,Oportunidades!$P$2:$P$71,E$36,Oportunidades!$H$2:$H$71,"Abierta",Oportunidades!$D$2:$D$71,"Sí",Oportunidades!$Z$2:$Z$71,$D$3)</f>
        <v>0</v>
      </c>
      <c r="F41" s="6" t="n">
        <f aca="false">COUNTIFS(Oportunidades!$E$2:$E$71,$A41,Oportunidades!$P$2:$P$71,F$36,Oportunidades!$H$2:$H$71,"Abierta",Oportunidades!$D$2:$D$71,"Sí",Oportunidades!$Z$2:$Z$71,$D$3)</f>
        <v>0</v>
      </c>
      <c r="G41" s="6" t="n">
        <f aca="false">SUM(B41:F41)</f>
        <v>1</v>
      </c>
    </row>
    <row r="42" customFormat="false" ht="15" hidden="false" customHeight="false" outlineLevel="0" collapsed="false">
      <c r="A42" s="5" t="s">
        <v>580</v>
      </c>
      <c r="B42" s="6" t="n">
        <f aca="false">COUNTIFS(Oportunidades!$E$2:$E$71,$A42,Oportunidades!$P$2:$P$71,B$36,Oportunidades!$H$2:$H$71,"Abierta",Oportunidades!$D$2:$D$71,"Sí",Oportunidades!$Z$2:$Z$71,$D$3)</f>
        <v>0</v>
      </c>
      <c r="C42" s="6" t="n">
        <f aca="false">COUNTIFS(Oportunidades!$E$2:$E$71,$A42,Oportunidades!$P$2:$P$71,C$36,Oportunidades!$H$2:$H$71,"Abierta",Oportunidades!$D$2:$D$71,"Sí",Oportunidades!$Z$2:$Z$71,$D$3)</f>
        <v>0</v>
      </c>
      <c r="D42" s="6" t="n">
        <f aca="false">COUNTIFS(Oportunidades!$E$2:$E$71,$A42,Oportunidades!$P$2:$P$71,D$36,Oportunidades!$H$2:$H$71,"Abierta",Oportunidades!$D$2:$D$71,"Sí",Oportunidades!$Z$2:$Z$71,$D$3)</f>
        <v>0</v>
      </c>
      <c r="E42" s="6" t="n">
        <f aca="false">COUNTIFS(Oportunidades!$E$2:$E$71,$A42,Oportunidades!$P$2:$P$71,E$36,Oportunidades!$H$2:$H$71,"Abierta",Oportunidades!$D$2:$D$71,"Sí",Oportunidades!$Z$2:$Z$71,$D$3)</f>
        <v>0</v>
      </c>
      <c r="F42" s="6" t="n">
        <f aca="false">COUNTIFS(Oportunidades!$E$2:$E$71,$A42,Oportunidades!$P$2:$P$71,F$36,Oportunidades!$H$2:$H$71,"Abierta",Oportunidades!$D$2:$D$71,"Sí",Oportunidades!$Z$2:$Z$71,$D$3)</f>
        <v>0</v>
      </c>
      <c r="G42" s="6" t="n">
        <f aca="false">SUM(B42:F42)</f>
        <v>0</v>
      </c>
    </row>
    <row r="43" customFormat="false" ht="15" hidden="false" customHeight="false" outlineLevel="0" collapsed="false">
      <c r="A43" s="5" t="s">
        <v>488</v>
      </c>
      <c r="B43" s="6" t="n">
        <f aca="false">COUNTIFS(Oportunidades!$E$2:$E$71,$A43,Oportunidades!$P$2:$P$71,B$36,Oportunidades!$H$2:$H$71,"Abierta",Oportunidades!$D$2:$D$71,"Sí",Oportunidades!$Z$2:$Z$71,$D$3)</f>
        <v>0</v>
      </c>
      <c r="C43" s="6" t="n">
        <f aca="false">COUNTIFS(Oportunidades!$E$2:$E$71,$A43,Oportunidades!$P$2:$P$71,C$36,Oportunidades!$H$2:$H$71,"Abierta",Oportunidades!$D$2:$D$71,"Sí",Oportunidades!$Z$2:$Z$71,$D$3)</f>
        <v>0</v>
      </c>
      <c r="D43" s="6" t="n">
        <f aca="false">COUNTIFS(Oportunidades!$E$2:$E$71,$A43,Oportunidades!$P$2:$P$71,D$36,Oportunidades!$H$2:$H$71,"Abierta",Oportunidades!$D$2:$D$71,"Sí",Oportunidades!$Z$2:$Z$71,$D$3)</f>
        <v>0</v>
      </c>
      <c r="E43" s="6" t="n">
        <f aca="false">COUNTIFS(Oportunidades!$E$2:$E$71,$A43,Oportunidades!$P$2:$P$71,E$36,Oportunidades!$H$2:$H$71,"Abierta",Oportunidades!$D$2:$D$71,"Sí",Oportunidades!$Z$2:$Z$71,$D$3)</f>
        <v>0</v>
      </c>
      <c r="F43" s="6" t="n">
        <f aca="false">COUNTIFS(Oportunidades!$E$2:$E$71,$A43,Oportunidades!$P$2:$P$71,F$36,Oportunidades!$H$2:$H$71,"Abierta",Oportunidades!$D$2:$D$71,"Sí",Oportunidades!$Z$2:$Z$71,$D$3)</f>
        <v>0</v>
      </c>
      <c r="G43" s="6" t="n">
        <f aca="false">SUM(B43:F43)</f>
        <v>0</v>
      </c>
    </row>
    <row r="44" customFormat="false" ht="15" hidden="false" customHeight="false" outlineLevel="0" collapsed="false">
      <c r="A44" s="5" t="s">
        <v>559</v>
      </c>
      <c r="B44" s="6" t="n">
        <f aca="false">COUNTIFS(Oportunidades!$E$2:$E$71,$A44,Oportunidades!$P$2:$P$71,B$36,Oportunidades!$H$2:$H$71,"Abierta",Oportunidades!$D$2:$D$71,"Sí",Oportunidades!$Z$2:$Z$71,$D$3)</f>
        <v>0</v>
      </c>
      <c r="C44" s="6" t="n">
        <f aca="false">COUNTIFS(Oportunidades!$E$2:$E$71,$A44,Oportunidades!$P$2:$P$71,C$36,Oportunidades!$H$2:$H$71,"Abierta",Oportunidades!$D$2:$D$71,"Sí",Oportunidades!$Z$2:$Z$71,$D$3)</f>
        <v>0</v>
      </c>
      <c r="D44" s="6" t="n">
        <f aca="false">COUNTIFS(Oportunidades!$E$2:$E$71,$A44,Oportunidades!$P$2:$P$71,D$36,Oportunidades!$H$2:$H$71,"Abierta",Oportunidades!$D$2:$D$71,"Sí",Oportunidades!$Z$2:$Z$71,$D$3)</f>
        <v>0</v>
      </c>
      <c r="E44" s="6" t="n">
        <f aca="false">COUNTIFS(Oportunidades!$E$2:$E$71,$A44,Oportunidades!$P$2:$P$71,E$36,Oportunidades!$H$2:$H$71,"Abierta",Oportunidades!$D$2:$D$71,"Sí",Oportunidades!$Z$2:$Z$71,$D$3)</f>
        <v>0</v>
      </c>
      <c r="F44" s="6" t="n">
        <f aca="false">COUNTIFS(Oportunidades!$E$2:$E$71,$A44,Oportunidades!$P$2:$P$71,F$36,Oportunidades!$H$2:$H$71,"Abierta",Oportunidades!$D$2:$D$71,"Sí",Oportunidades!$Z$2:$Z$71,$D$3)</f>
        <v>0</v>
      </c>
      <c r="G44" s="6" t="n">
        <f aca="false">SUM(B44:F44)</f>
        <v>0</v>
      </c>
    </row>
    <row r="45" customFormat="false" ht="15" hidden="false" customHeight="false" outlineLevel="0" collapsed="false">
      <c r="A45" s="5" t="s">
        <v>633</v>
      </c>
      <c r="B45" s="6" t="n">
        <f aca="false">COUNTIFS(Oportunidades!$E$2:$E$71,$A45,Oportunidades!$P$2:$P$71,B$36,Oportunidades!$H$2:$H$71,"Abierta",Oportunidades!$D$2:$D$71,"Sí",Oportunidades!$Z$2:$Z$71,$D$3)</f>
        <v>0</v>
      </c>
      <c r="C45" s="6" t="n">
        <f aca="false">COUNTIFS(Oportunidades!$E$2:$E$71,$A45,Oportunidades!$P$2:$P$71,C$36,Oportunidades!$H$2:$H$71,"Abierta",Oportunidades!$D$2:$D$71,"Sí",Oportunidades!$Z$2:$Z$71,$D$3)</f>
        <v>0</v>
      </c>
      <c r="D45" s="6" t="n">
        <f aca="false">COUNTIFS(Oportunidades!$E$2:$E$71,$A45,Oportunidades!$P$2:$P$71,D$36,Oportunidades!$H$2:$H$71,"Abierta",Oportunidades!$D$2:$D$71,"Sí",Oportunidades!$Z$2:$Z$71,$D$3)</f>
        <v>0</v>
      </c>
      <c r="E45" s="6" t="n">
        <f aca="false">COUNTIFS(Oportunidades!$E$2:$E$71,$A45,Oportunidades!$P$2:$P$71,E$36,Oportunidades!$H$2:$H$71,"Abierta",Oportunidades!$D$2:$D$71,"Sí",Oportunidades!$Z$2:$Z$71,$D$3)</f>
        <v>0</v>
      </c>
      <c r="F45" s="6" t="n">
        <f aca="false">COUNTIFS(Oportunidades!$E$2:$E$71,$A45,Oportunidades!$P$2:$P$71,F$36,Oportunidades!$H$2:$H$71,"Abierta",Oportunidades!$D$2:$D$71,"Sí",Oportunidades!$Z$2:$Z$71,$D$3)</f>
        <v>0</v>
      </c>
      <c r="G45" s="6" t="n">
        <f aca="false">SUM(B45:F45)</f>
        <v>0</v>
      </c>
    </row>
    <row r="46" customFormat="false" ht="15" hidden="false" customHeight="false" outlineLevel="0" collapsed="false">
      <c r="A46" s="5" t="s">
        <v>623</v>
      </c>
      <c r="B46" s="6" t="n">
        <f aca="false">COUNTIFS(Oportunidades!$E$2:$E$71,$A46,Oportunidades!$P$2:$P$71,B$36,Oportunidades!$H$2:$H$71,"Abierta",Oportunidades!$D$2:$D$71,"Sí",Oportunidades!$Z$2:$Z$71,$D$3)</f>
        <v>0</v>
      </c>
      <c r="C46" s="6" t="n">
        <f aca="false">COUNTIFS(Oportunidades!$E$2:$E$71,$A46,Oportunidades!$P$2:$P$71,C$36,Oportunidades!$H$2:$H$71,"Abierta",Oportunidades!$D$2:$D$71,"Sí",Oportunidades!$Z$2:$Z$71,$D$3)</f>
        <v>0</v>
      </c>
      <c r="D46" s="6" t="n">
        <f aca="false">COUNTIFS(Oportunidades!$E$2:$E$71,$A46,Oportunidades!$P$2:$P$71,D$36,Oportunidades!$H$2:$H$71,"Abierta",Oportunidades!$D$2:$D$71,"Sí",Oportunidades!$Z$2:$Z$71,$D$3)</f>
        <v>0</v>
      </c>
      <c r="E46" s="6" t="n">
        <f aca="false">COUNTIFS(Oportunidades!$E$2:$E$71,$A46,Oportunidades!$P$2:$P$71,E$36,Oportunidades!$H$2:$H$71,"Abierta",Oportunidades!$D$2:$D$71,"Sí",Oportunidades!$Z$2:$Z$71,$D$3)</f>
        <v>0</v>
      </c>
      <c r="F46" s="6" t="n">
        <f aca="false">COUNTIFS(Oportunidades!$E$2:$E$71,$A46,Oportunidades!$P$2:$P$71,F$36,Oportunidades!$H$2:$H$71,"Abierta",Oportunidades!$D$2:$D$71,"Sí",Oportunidades!$Z$2:$Z$71,$D$3)</f>
        <v>0</v>
      </c>
      <c r="G46" s="6" t="n">
        <f aca="false">SUM(B46:F46)</f>
        <v>0</v>
      </c>
    </row>
    <row r="47" customFormat="false" ht="15" hidden="false" customHeight="false" outlineLevel="0" collapsed="false">
      <c r="A47" s="22" t="s">
        <v>699</v>
      </c>
      <c r="B47" s="23" t="n">
        <f aca="false">SUM(B37:B46)</f>
        <v>1</v>
      </c>
      <c r="C47" s="23" t="n">
        <f aca="false">SUM(C37:C46)</f>
        <v>0</v>
      </c>
      <c r="D47" s="23" t="n">
        <f aca="false">SUM(D37:D46)</f>
        <v>0</v>
      </c>
      <c r="E47" s="23" t="n">
        <f aca="false">SUM(E37:E46)</f>
        <v>0</v>
      </c>
      <c r="F47" s="23" t="n">
        <f aca="false">SUM(F37:F46)</f>
        <v>0</v>
      </c>
      <c r="G47" s="23" t="n">
        <f aca="false">SUM(G37:G46)</f>
        <v>1</v>
      </c>
    </row>
  </sheetData>
  <mergeCells count="1">
    <mergeCell ref="A2:H2"/>
  </mergeCells>
  <conditionalFormatting sqref="B7:F16">
    <cfRule type="cellIs" priority="2" operator="greaterThan" aboveAverage="0" equalAverage="0" bottom="0" percent="0" rank="0" text="" dxfId="9">
      <formula>0</formula>
    </cfRule>
  </conditionalFormatting>
  <conditionalFormatting sqref="B22:F31">
    <cfRule type="cellIs" priority="3" operator="greaterThan" aboveAverage="0" equalAverage="0" bottom="0" percent="0" rank="0" text="" dxfId="10">
      <formula>0</formula>
    </cfRule>
  </conditionalFormatting>
  <conditionalFormatting sqref="B37:F46">
    <cfRule type="cellIs" priority="4" operator="greaterThan" aboveAverage="0" equalAverage="0" bottom="0" percent="0" rank="0" text="" dxfId="11">
      <formula>0</formula>
    </cfRule>
  </conditionalFormatting>
  <dataValidations count="1">
    <dataValidation allowBlank="false" errorStyle="stop" operator="between" showDropDown="false" showErrorMessage="false" showInputMessage="false" sqref="B3" type="list">
      <formula1>"Solo Elegible,Todo el CRM"</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3" min="3" style="0" width="40"/>
    <col collapsed="false" customWidth="true" hidden="false" outlineLevel="0" max="4" min="4" style="0" width="10"/>
    <col collapsed="false" customWidth="true" hidden="false" outlineLevel="0" max="5" min="5" style="0" width="12"/>
    <col collapsed="false" customWidth="true" hidden="false" outlineLevel="0" max="7" min="6" style="0" width="16"/>
    <col collapsed="false" customWidth="true" hidden="false" outlineLevel="0" max="8" min="8" style="0" width="40"/>
    <col collapsed="false" customWidth="true" hidden="false" outlineLevel="0" max="9" min="9" style="0" width="64"/>
  </cols>
  <sheetData>
    <row r="1" customFormat="false" ht="16.15" hidden="false" customHeight="false" outlineLevel="0" collapsed="false">
      <c r="A1" s="17" t="s">
        <v>743</v>
      </c>
    </row>
    <row r="2" customFormat="false" ht="43.5" hidden="false" customHeight="true" outlineLevel="0" collapsed="false">
      <c r="A2" s="2" t="s">
        <v>744</v>
      </c>
      <c r="B2" s="2"/>
      <c r="C2" s="2"/>
      <c r="D2" s="2"/>
      <c r="E2" s="2"/>
      <c r="F2" s="2"/>
      <c r="G2" s="2"/>
      <c r="H2" s="2"/>
      <c r="I2" s="2"/>
    </row>
    <row r="4" customFormat="false" ht="42" hidden="false" customHeight="true" outlineLevel="0" collapsed="false">
      <c r="A4" s="4" t="s">
        <v>720</v>
      </c>
      <c r="B4" s="4" t="s">
        <v>721</v>
      </c>
      <c r="C4" s="4" t="s">
        <v>745</v>
      </c>
      <c r="D4" s="4" t="s">
        <v>746</v>
      </c>
      <c r="E4" s="4" t="s">
        <v>722</v>
      </c>
      <c r="F4" s="4" t="s">
        <v>747</v>
      </c>
      <c r="G4" s="4" t="s">
        <v>725</v>
      </c>
      <c r="H4" s="4" t="s">
        <v>748</v>
      </c>
      <c r="I4" s="4" t="s">
        <v>749</v>
      </c>
    </row>
    <row r="5" customFormat="false" ht="26.85" hidden="false" customHeight="false" outlineLevel="0" collapsed="false">
      <c r="A5" s="28" t="s">
        <v>750</v>
      </c>
      <c r="B5" s="5" t="s">
        <v>751</v>
      </c>
      <c r="C5" s="5" t="s">
        <v>502</v>
      </c>
      <c r="D5" s="5" t="s">
        <v>752</v>
      </c>
      <c r="E5" s="15" t="n">
        <v>43585</v>
      </c>
      <c r="F5" s="26" t="n">
        <v>1855035.99</v>
      </c>
      <c r="G5" s="5" t="s">
        <v>753</v>
      </c>
      <c r="H5" s="5" t="s">
        <v>754</v>
      </c>
      <c r="I5" s="5" t="s">
        <v>755</v>
      </c>
    </row>
    <row r="6" customFormat="false" ht="26.85" hidden="false" customHeight="false" outlineLevel="0" collapsed="false">
      <c r="A6" s="28" t="s">
        <v>756</v>
      </c>
      <c r="B6" s="5" t="s">
        <v>757</v>
      </c>
      <c r="C6" s="5" t="s">
        <v>536</v>
      </c>
      <c r="D6" s="5" t="s">
        <v>752</v>
      </c>
      <c r="E6" s="15" t="n">
        <v>43643</v>
      </c>
      <c r="F6" s="26" t="n">
        <v>463759.04</v>
      </c>
      <c r="G6" s="5" t="s">
        <v>753</v>
      </c>
      <c r="H6" s="5" t="s">
        <v>754</v>
      </c>
      <c r="I6" s="5" t="s">
        <v>755</v>
      </c>
    </row>
    <row r="7" customFormat="false" ht="26.85" hidden="false" customHeight="false" outlineLevel="0" collapsed="false">
      <c r="A7" s="28" t="s">
        <v>758</v>
      </c>
      <c r="B7" s="5" t="s">
        <v>759</v>
      </c>
      <c r="C7" s="5" t="s">
        <v>536</v>
      </c>
      <c r="D7" s="5" t="s">
        <v>752</v>
      </c>
      <c r="E7" s="15" t="n">
        <v>43701</v>
      </c>
      <c r="F7" s="26" t="n">
        <v>278255.46</v>
      </c>
      <c r="G7" s="5" t="s">
        <v>753</v>
      </c>
      <c r="H7" s="5" t="s">
        <v>754</v>
      </c>
      <c r="I7" s="5" t="s">
        <v>755</v>
      </c>
    </row>
    <row r="8" customFormat="false" ht="26.85" hidden="false" customHeight="false" outlineLevel="0" collapsed="false">
      <c r="A8" s="28" t="s">
        <v>760</v>
      </c>
      <c r="B8" s="5" t="s">
        <v>761</v>
      </c>
      <c r="C8" s="5" t="s">
        <v>502</v>
      </c>
      <c r="D8" s="5" t="s">
        <v>752</v>
      </c>
      <c r="E8" s="15" t="n">
        <v>43945</v>
      </c>
      <c r="F8" s="26" t="n">
        <v>371007.16</v>
      </c>
      <c r="G8" s="5" t="s">
        <v>753</v>
      </c>
      <c r="H8" s="5" t="s">
        <v>754</v>
      </c>
      <c r="I8" s="5" t="s">
        <v>755</v>
      </c>
    </row>
    <row r="9" customFormat="false" ht="26.85" hidden="false" customHeight="false" outlineLevel="0" collapsed="false">
      <c r="A9" s="28" t="s">
        <v>762</v>
      </c>
      <c r="B9" s="5" t="s">
        <v>763</v>
      </c>
      <c r="C9" s="5" t="s">
        <v>502</v>
      </c>
      <c r="D9" s="5" t="s">
        <v>752</v>
      </c>
      <c r="E9" s="15" t="n">
        <v>44527</v>
      </c>
      <c r="F9" s="26" t="n">
        <v>788217.01</v>
      </c>
      <c r="G9" s="5" t="s">
        <v>764</v>
      </c>
      <c r="H9" s="5" t="s">
        <v>765</v>
      </c>
      <c r="I9" s="5" t="s">
        <v>766</v>
      </c>
    </row>
    <row r="10" customFormat="false" ht="39.55" hidden="false" customHeight="false" outlineLevel="0" collapsed="false">
      <c r="A10" s="28" t="s">
        <v>767</v>
      </c>
      <c r="B10" s="5" t="s">
        <v>768</v>
      </c>
      <c r="C10" s="5" t="s">
        <v>156</v>
      </c>
      <c r="D10" s="5" t="s">
        <v>752</v>
      </c>
      <c r="E10" s="15" t="n">
        <v>44833</v>
      </c>
      <c r="F10" s="26" t="n">
        <v>437898.36</v>
      </c>
      <c r="G10" s="5" t="s">
        <v>764</v>
      </c>
      <c r="H10" s="5" t="s">
        <v>765</v>
      </c>
      <c r="I10" s="5" t="s">
        <v>766</v>
      </c>
    </row>
    <row r="11" customFormat="false" ht="64.9" hidden="false" customHeight="false" outlineLevel="0" collapsed="false">
      <c r="A11" s="28" t="s">
        <v>769</v>
      </c>
      <c r="B11" s="5" t="s">
        <v>770</v>
      </c>
      <c r="C11" s="5" t="s">
        <v>569</v>
      </c>
      <c r="D11" s="5" t="s">
        <v>752</v>
      </c>
      <c r="E11" s="15" t="n">
        <v>44855</v>
      </c>
      <c r="F11" s="26" t="n">
        <v>656847.54</v>
      </c>
      <c r="G11" s="5" t="s">
        <v>764</v>
      </c>
      <c r="H11" s="5" t="s">
        <v>771</v>
      </c>
      <c r="I11" s="5" t="s">
        <v>772</v>
      </c>
    </row>
    <row r="12" customFormat="false" ht="64.9" hidden="false" customHeight="false" outlineLevel="0" collapsed="false">
      <c r="A12" s="28" t="s">
        <v>773</v>
      </c>
      <c r="B12" s="5" t="s">
        <v>774</v>
      </c>
      <c r="C12" s="5" t="s">
        <v>569</v>
      </c>
      <c r="D12" s="5" t="s">
        <v>752</v>
      </c>
      <c r="E12" s="15" t="n">
        <v>45099</v>
      </c>
      <c r="F12" s="26" t="n">
        <v>511104.27</v>
      </c>
      <c r="G12" s="5" t="s">
        <v>764</v>
      </c>
      <c r="H12" s="5" t="s">
        <v>771</v>
      </c>
      <c r="I12" s="5" t="s">
        <v>772</v>
      </c>
    </row>
    <row r="13" customFormat="false" ht="26.85" hidden="false" customHeight="false" outlineLevel="0" collapsed="false">
      <c r="A13" s="28" t="s">
        <v>775</v>
      </c>
      <c r="B13" s="5" t="s">
        <v>776</v>
      </c>
      <c r="C13" s="5" t="s">
        <v>590</v>
      </c>
      <c r="D13" s="5" t="s">
        <v>752</v>
      </c>
      <c r="E13" s="15" t="n">
        <v>45225</v>
      </c>
      <c r="F13" s="26" t="n">
        <v>896674.02</v>
      </c>
      <c r="G13" s="5" t="s">
        <v>753</v>
      </c>
      <c r="H13" s="5" t="s">
        <v>777</v>
      </c>
      <c r="I13" s="5" t="s">
        <v>778</v>
      </c>
    </row>
    <row r="14" customFormat="false" ht="64.9" hidden="false" customHeight="false" outlineLevel="0" collapsed="false">
      <c r="A14" s="28" t="s">
        <v>779</v>
      </c>
      <c r="B14" s="5" t="s">
        <v>780</v>
      </c>
      <c r="C14" s="5" t="s">
        <v>569</v>
      </c>
      <c r="D14" s="5" t="s">
        <v>752</v>
      </c>
      <c r="E14" s="15" t="n">
        <v>45240</v>
      </c>
      <c r="F14" s="26" t="n">
        <v>448337.01</v>
      </c>
      <c r="G14" s="5" t="s">
        <v>764</v>
      </c>
      <c r="H14" s="5" t="s">
        <v>771</v>
      </c>
      <c r="I14" s="5" t="s">
        <v>772</v>
      </c>
    </row>
    <row r="15" customFormat="false" ht="64.9" hidden="false" customHeight="false" outlineLevel="0" collapsed="false">
      <c r="A15" s="28" t="s">
        <v>781</v>
      </c>
      <c r="B15" s="5" t="s">
        <v>782</v>
      </c>
      <c r="C15" s="5" t="s">
        <v>569</v>
      </c>
      <c r="D15" s="5" t="s">
        <v>752</v>
      </c>
      <c r="E15" s="15" t="n">
        <v>45320</v>
      </c>
      <c r="F15" s="26" t="n">
        <v>876912.89</v>
      </c>
      <c r="G15" s="5" t="s">
        <v>764</v>
      </c>
      <c r="H15" s="5" t="s">
        <v>771</v>
      </c>
      <c r="I15" s="5" t="s">
        <v>772</v>
      </c>
    </row>
    <row r="16" customFormat="false" ht="64.9" hidden="false" customHeight="false" outlineLevel="0" collapsed="false">
      <c r="A16" s="28" t="s">
        <v>783</v>
      </c>
      <c r="B16" s="5" t="s">
        <v>784</v>
      </c>
      <c r="C16" s="5" t="s">
        <v>569</v>
      </c>
      <c r="D16" s="5" t="s">
        <v>752</v>
      </c>
      <c r="E16" s="15" t="n">
        <v>45520</v>
      </c>
      <c r="F16" s="26" t="n">
        <v>361081.8</v>
      </c>
      <c r="G16" s="5" t="s">
        <v>764</v>
      </c>
      <c r="H16" s="5" t="s">
        <v>771</v>
      </c>
      <c r="I16" s="5" t="s">
        <v>772</v>
      </c>
    </row>
    <row r="17" customFormat="false" ht="39.55" hidden="false" customHeight="false" outlineLevel="0" collapsed="false">
      <c r="A17" s="28" t="s">
        <v>785</v>
      </c>
      <c r="B17" s="5" t="s">
        <v>786</v>
      </c>
      <c r="C17" s="5" t="s">
        <v>186</v>
      </c>
      <c r="D17" s="5" t="s">
        <v>752</v>
      </c>
      <c r="E17" s="15" t="n">
        <v>46227</v>
      </c>
      <c r="F17" s="26" t="n">
        <v>420399.95</v>
      </c>
      <c r="G17" s="5" t="s">
        <v>764</v>
      </c>
      <c r="H17" s="5" t="s">
        <v>787</v>
      </c>
      <c r="I17" s="5" t="s">
        <v>788</v>
      </c>
    </row>
    <row r="18" customFormat="false" ht="26.85" hidden="false" customHeight="false" outlineLevel="0" collapsed="false">
      <c r="A18" s="28" t="s">
        <v>789</v>
      </c>
      <c r="B18" s="5" t="s">
        <v>790</v>
      </c>
      <c r="C18" s="5" t="s">
        <v>194</v>
      </c>
      <c r="D18" s="5" t="s">
        <v>791</v>
      </c>
      <c r="E18" s="15" t="n">
        <v>44049</v>
      </c>
      <c r="F18" s="26" t="n">
        <v>0</v>
      </c>
      <c r="G18" s="5" t="s">
        <v>753</v>
      </c>
      <c r="H18" s="5" t="s">
        <v>754</v>
      </c>
      <c r="I18" s="5" t="s">
        <v>755</v>
      </c>
    </row>
    <row r="19" customFormat="false" ht="64.9" hidden="false" customHeight="false" outlineLevel="0" collapsed="false">
      <c r="A19" s="28" t="s">
        <v>792</v>
      </c>
      <c r="B19" s="5" t="s">
        <v>793</v>
      </c>
      <c r="C19" s="5" t="s">
        <v>569</v>
      </c>
      <c r="D19" s="5" t="s">
        <v>791</v>
      </c>
      <c r="E19" s="15" t="n">
        <v>44529</v>
      </c>
      <c r="F19" s="26" t="n">
        <v>140127.5</v>
      </c>
      <c r="G19" s="5" t="s">
        <v>764</v>
      </c>
      <c r="H19" s="5" t="s">
        <v>771</v>
      </c>
      <c r="I19" s="5" t="s">
        <v>772</v>
      </c>
    </row>
    <row r="20" customFormat="false" ht="15" hidden="false" customHeight="false" outlineLevel="0" collapsed="false">
      <c r="A20" s="28" t="s">
        <v>794</v>
      </c>
      <c r="B20" s="5" t="s">
        <v>795</v>
      </c>
      <c r="C20" s="5" t="s">
        <v>438</v>
      </c>
      <c r="D20" s="5" t="s">
        <v>791</v>
      </c>
      <c r="E20" s="15" t="n">
        <v>45421</v>
      </c>
      <c r="F20" s="26" t="n">
        <v>305372.03</v>
      </c>
      <c r="G20" s="5" t="s">
        <v>764</v>
      </c>
      <c r="H20" s="5" t="s">
        <v>796</v>
      </c>
      <c r="I20" s="5" t="s">
        <v>797</v>
      </c>
    </row>
    <row r="21" customFormat="false" ht="64.9" hidden="false" customHeight="false" outlineLevel="0" collapsed="false">
      <c r="A21" s="28" t="s">
        <v>798</v>
      </c>
      <c r="B21" s="5" t="s">
        <v>799</v>
      </c>
      <c r="C21" s="5" t="s">
        <v>569</v>
      </c>
      <c r="D21" s="5" t="s">
        <v>791</v>
      </c>
      <c r="E21" s="15" t="n">
        <v>45496</v>
      </c>
      <c r="F21" s="26" t="n">
        <v>264105.56</v>
      </c>
      <c r="G21" s="5" t="s">
        <v>764</v>
      </c>
      <c r="H21" s="5" t="s">
        <v>771</v>
      </c>
      <c r="I21" s="5" t="s">
        <v>772</v>
      </c>
    </row>
    <row r="22" customFormat="false" ht="15" hidden="false" customHeight="false" outlineLevel="0" collapsed="false">
      <c r="A22" s="28" t="s">
        <v>800</v>
      </c>
      <c r="B22" s="5" t="s">
        <v>801</v>
      </c>
      <c r="C22" s="5" t="s">
        <v>194</v>
      </c>
      <c r="D22" s="5" t="s">
        <v>791</v>
      </c>
      <c r="E22" s="15" t="n">
        <v>45862</v>
      </c>
      <c r="F22" s="26" t="n">
        <v>431325.17</v>
      </c>
      <c r="G22" s="5" t="s">
        <v>764</v>
      </c>
      <c r="H22" s="5" t="s">
        <v>796</v>
      </c>
      <c r="I22" s="5" t="s">
        <v>797</v>
      </c>
    </row>
    <row r="23" customFormat="false" ht="39.55" hidden="false" customHeight="false" outlineLevel="0" collapsed="false">
      <c r="A23" s="28" t="s">
        <v>802</v>
      </c>
      <c r="B23" s="5" t="s">
        <v>803</v>
      </c>
      <c r="C23" s="5" t="s">
        <v>186</v>
      </c>
      <c r="D23" s="5" t="s">
        <v>804</v>
      </c>
      <c r="E23" s="15" t="n">
        <v>46304</v>
      </c>
      <c r="F23" s="26" t="n">
        <v>291251.99</v>
      </c>
      <c r="G23" s="5" t="s">
        <v>764</v>
      </c>
      <c r="H23" s="5" t="s">
        <v>787</v>
      </c>
      <c r="I23" s="5" t="s">
        <v>788</v>
      </c>
    </row>
    <row r="24" customFormat="false" ht="39.55" hidden="false" customHeight="false" outlineLevel="0" collapsed="false">
      <c r="A24" s="28" t="s">
        <v>805</v>
      </c>
      <c r="B24" s="5" t="s">
        <v>806</v>
      </c>
      <c r="C24" s="5" t="s">
        <v>558</v>
      </c>
      <c r="D24" s="5" t="s">
        <v>804</v>
      </c>
      <c r="E24" s="15" t="n">
        <v>46317</v>
      </c>
      <c r="F24" s="26" t="n">
        <v>149999.94</v>
      </c>
      <c r="G24" s="5" t="s">
        <v>807</v>
      </c>
      <c r="H24" s="5" t="s">
        <v>137</v>
      </c>
      <c r="I24" s="5" t="s">
        <v>808</v>
      </c>
    </row>
    <row r="25" customFormat="false" ht="39.55" hidden="false" customHeight="false" outlineLevel="0" collapsed="false">
      <c r="A25" s="28" t="s">
        <v>809</v>
      </c>
      <c r="B25" s="5" t="s">
        <v>810</v>
      </c>
      <c r="C25" s="5" t="s">
        <v>632</v>
      </c>
      <c r="D25" s="5" t="s">
        <v>804</v>
      </c>
      <c r="E25" s="15" t="n">
        <v>46353</v>
      </c>
      <c r="F25" s="26" t="n">
        <v>300000.06</v>
      </c>
      <c r="G25" s="5" t="s">
        <v>807</v>
      </c>
      <c r="H25" s="5" t="s">
        <v>137</v>
      </c>
      <c r="I25" s="5" t="s">
        <v>808</v>
      </c>
    </row>
    <row r="26" customFormat="false" ht="39.55" hidden="false" customHeight="false" outlineLevel="0" collapsed="false">
      <c r="A26" s="28" t="s">
        <v>811</v>
      </c>
      <c r="B26" s="5" t="s">
        <v>812</v>
      </c>
      <c r="C26" s="5" t="s">
        <v>632</v>
      </c>
      <c r="D26" s="5" t="s">
        <v>804</v>
      </c>
      <c r="E26" s="15" t="n">
        <v>46353</v>
      </c>
      <c r="F26" s="26" t="n">
        <v>199999.98</v>
      </c>
      <c r="G26" s="5" t="s">
        <v>807</v>
      </c>
      <c r="H26" s="5" t="s">
        <v>137</v>
      </c>
      <c r="I26" s="5" t="s">
        <v>808</v>
      </c>
    </row>
    <row r="28" customFormat="false" ht="15" hidden="false" customHeight="false" outlineLevel="0" collapsed="false">
      <c r="A28" s="13" t="s">
        <v>813</v>
      </c>
      <c r="B28" s="29" t="n">
        <f aca="false">COUNTIF(D5:D26,"Ganada")</f>
        <v>13</v>
      </c>
    </row>
    <row r="29" customFormat="false" ht="15" hidden="false" customHeight="false" outlineLevel="0" collapsed="false">
      <c r="A29" s="13" t="s">
        <v>814</v>
      </c>
      <c r="B29" s="30" t="n">
        <f aca="false">SUMIFS(F5:F26,D5:D26,"Ganada")</f>
        <v>8365530.5</v>
      </c>
    </row>
  </sheetData>
  <autoFilter ref="A4:I26"/>
  <mergeCells count="1">
    <mergeCell ref="A2:I2"/>
  </mergeCells>
  <conditionalFormatting sqref="D5:D26">
    <cfRule type="cellIs" priority="2" operator="equal" aboveAverage="0" equalAverage="0" bottom="0" percent="0" rank="0" text="" dxfId="9">
      <formula>"Ganada"</formula>
    </cfRule>
    <cfRule type="cellIs" priority="3" operator="equal" aboveAverage="0" equalAverage="0" bottom="0" percent="0" rank="0" text="" dxfId="10">
      <formula>"Perdida"</formula>
    </cfRule>
    <cfRule type="cellIs" priority="4" operator="equal" aboveAverage="0" equalAverage="0" bottom="0" percent="0" rank="0" text="" dxfId="11">
      <formula>"Abierta"</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L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60"/>
    <col collapsed="false" customWidth="true" hidden="false" outlineLevel="0" max="4" min="4" style="0" width="30"/>
    <col collapsed="false" customWidth="true" hidden="false" outlineLevel="0" max="5" min="5" style="0" width="34"/>
    <col collapsed="false" customWidth="true" hidden="false" outlineLevel="0" max="6" min="6" style="0" width="52"/>
    <col collapsed="false" customWidth="true" hidden="false" outlineLevel="0" max="7" min="7" style="0" width="40"/>
    <col collapsed="false" customWidth="true" hidden="false" outlineLevel="0" max="8" min="8" style="0" width="56"/>
    <col collapsed="false" customWidth="true" hidden="false" outlineLevel="0" max="9" min="9" style="0" width="52"/>
    <col collapsed="false" customWidth="true" hidden="false" outlineLevel="0" max="10" min="10" style="0" width="64"/>
    <col collapsed="false" customWidth="true" hidden="false" outlineLevel="0" max="11" min="11" style="0" width="56"/>
    <col collapsed="false" customWidth="true" hidden="false" outlineLevel="0" max="12" min="12" style="0" width="18"/>
  </cols>
  <sheetData>
    <row r="1" customFormat="false" ht="16.15" hidden="false" customHeight="false" outlineLevel="0" collapsed="false">
      <c r="A1" s="17" t="s">
        <v>815</v>
      </c>
    </row>
    <row r="2" customFormat="false" ht="43.5" hidden="false" customHeight="true" outlineLevel="0" collapsed="false">
      <c r="A2" s="2" t="s">
        <v>816</v>
      </c>
      <c r="B2" s="2"/>
      <c r="C2" s="2"/>
      <c r="D2" s="2"/>
      <c r="E2" s="2"/>
      <c r="F2" s="2"/>
      <c r="G2" s="2"/>
      <c r="H2" s="2"/>
      <c r="I2" s="2"/>
      <c r="J2" s="2"/>
      <c r="K2" s="2"/>
    </row>
    <row r="4" customFormat="false" ht="42" hidden="false" customHeight="true" outlineLevel="0" collapsed="false">
      <c r="A4" s="4" t="s">
        <v>817</v>
      </c>
      <c r="B4" s="4" t="s">
        <v>818</v>
      </c>
      <c r="C4" s="4" t="s">
        <v>819</v>
      </c>
      <c r="D4" s="4" t="s">
        <v>820</v>
      </c>
      <c r="E4" s="4" t="s">
        <v>821</v>
      </c>
      <c r="F4" s="4" t="s">
        <v>822</v>
      </c>
      <c r="G4" s="4" t="s">
        <v>823</v>
      </c>
      <c r="H4" s="4" t="s">
        <v>824</v>
      </c>
      <c r="I4" s="4" t="s">
        <v>825</v>
      </c>
      <c r="J4" s="4" t="s">
        <v>826</v>
      </c>
      <c r="K4" s="4" t="s">
        <v>827</v>
      </c>
      <c r="L4" s="4" t="s">
        <v>107</v>
      </c>
    </row>
    <row r="5" customFormat="false" ht="242.5" hidden="false" customHeight="false" outlineLevel="0" collapsed="false">
      <c r="A5" s="5" t="s">
        <v>828</v>
      </c>
      <c r="B5" s="5" t="s">
        <v>829</v>
      </c>
      <c r="C5" s="5" t="s">
        <v>830</v>
      </c>
      <c r="D5" s="5" t="s">
        <v>831</v>
      </c>
      <c r="E5" s="5" t="s">
        <v>832</v>
      </c>
      <c r="F5" s="5" t="s">
        <v>833</v>
      </c>
      <c r="G5" s="5" t="s">
        <v>834</v>
      </c>
      <c r="H5" s="5" t="s">
        <v>835</v>
      </c>
      <c r="I5" s="5" t="s">
        <v>836</v>
      </c>
      <c r="J5" s="5" t="s">
        <v>837</v>
      </c>
      <c r="K5" s="5" t="s">
        <v>838</v>
      </c>
      <c r="L5" s="5" t="s">
        <v>839</v>
      </c>
    </row>
    <row r="6" customFormat="false" ht="331.3" hidden="false" customHeight="false" outlineLevel="0" collapsed="false">
      <c r="A6" s="5" t="s">
        <v>840</v>
      </c>
      <c r="B6" s="5" t="s">
        <v>841</v>
      </c>
      <c r="C6" s="5" t="s">
        <v>842</v>
      </c>
      <c r="D6" s="5" t="s">
        <v>843</v>
      </c>
      <c r="E6" s="5" t="s">
        <v>844</v>
      </c>
      <c r="F6" s="5" t="s">
        <v>845</v>
      </c>
      <c r="G6" s="5" t="s">
        <v>846</v>
      </c>
      <c r="H6" s="5" t="s">
        <v>847</v>
      </c>
      <c r="I6" s="5" t="s">
        <v>848</v>
      </c>
      <c r="J6" s="5" t="s">
        <v>849</v>
      </c>
      <c r="K6" s="5" t="s">
        <v>850</v>
      </c>
      <c r="L6" s="5" t="s">
        <v>839</v>
      </c>
    </row>
    <row r="7" customFormat="false" ht="242.5" hidden="false" customHeight="false" outlineLevel="0" collapsed="false">
      <c r="A7" s="5" t="s">
        <v>851</v>
      </c>
      <c r="B7" s="5" t="s">
        <v>852</v>
      </c>
      <c r="C7" s="5" t="s">
        <v>853</v>
      </c>
      <c r="D7" s="5" t="s">
        <v>854</v>
      </c>
      <c r="E7" s="5" t="s">
        <v>855</v>
      </c>
      <c r="F7" s="5" t="s">
        <v>856</v>
      </c>
      <c r="G7" s="5" t="s">
        <v>857</v>
      </c>
      <c r="H7" s="5" t="s">
        <v>858</v>
      </c>
      <c r="I7" s="5" t="s">
        <v>859</v>
      </c>
      <c r="J7" s="5" t="s">
        <v>860</v>
      </c>
      <c r="K7" s="5" t="s">
        <v>861</v>
      </c>
      <c r="L7" s="5" t="s">
        <v>839</v>
      </c>
    </row>
    <row r="8" customFormat="false" ht="191.75" hidden="false" customHeight="false" outlineLevel="0" collapsed="false">
      <c r="A8" s="5" t="s">
        <v>862</v>
      </c>
      <c r="B8" s="5" t="s">
        <v>863</v>
      </c>
      <c r="C8" s="5" t="s">
        <v>864</v>
      </c>
      <c r="D8" s="5" t="s">
        <v>865</v>
      </c>
      <c r="E8" s="5" t="s">
        <v>866</v>
      </c>
      <c r="F8" s="5" t="s">
        <v>867</v>
      </c>
      <c r="G8" s="5" t="s">
        <v>868</v>
      </c>
      <c r="H8" s="5" t="s">
        <v>869</v>
      </c>
      <c r="I8" s="5" t="s">
        <v>870</v>
      </c>
      <c r="J8" s="5" t="s">
        <v>871</v>
      </c>
      <c r="K8" s="5" t="s">
        <v>872</v>
      </c>
      <c r="L8" s="5" t="s">
        <v>873</v>
      </c>
    </row>
  </sheetData>
  <mergeCells count="1">
    <mergeCell ref="A2:K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4" min="3" style="0" width="70"/>
    <col collapsed="false" customWidth="true" hidden="false" outlineLevel="0" max="5" min="5" style="0" width="22"/>
  </cols>
  <sheetData>
    <row r="1" customFormat="false" ht="16.15" hidden="false" customHeight="false" outlineLevel="0" collapsed="false">
      <c r="A1" s="17" t="s">
        <v>874</v>
      </c>
    </row>
    <row r="2" customFormat="false" ht="36" hidden="false" customHeight="true" outlineLevel="0" collapsed="false">
      <c r="A2" s="2" t="s">
        <v>875</v>
      </c>
      <c r="B2" s="2"/>
      <c r="C2" s="2"/>
      <c r="D2" s="2"/>
      <c r="E2" s="2"/>
    </row>
    <row r="4" customFormat="false" ht="42" hidden="false" customHeight="true" outlineLevel="0" collapsed="false">
      <c r="A4" s="4" t="s">
        <v>817</v>
      </c>
      <c r="B4" s="4" t="s">
        <v>876</v>
      </c>
      <c r="C4" s="4" t="s">
        <v>877</v>
      </c>
      <c r="D4" s="4" t="s">
        <v>878</v>
      </c>
      <c r="E4" s="4" t="s">
        <v>879</v>
      </c>
    </row>
    <row r="5" customFormat="false" ht="77.6" hidden="false" customHeight="false" outlineLevel="0" collapsed="false">
      <c r="A5" s="5" t="n">
        <v>1</v>
      </c>
      <c r="B5" s="5" t="s">
        <v>880</v>
      </c>
      <c r="C5" s="5" t="s">
        <v>881</v>
      </c>
      <c r="D5" s="5" t="s">
        <v>882</v>
      </c>
      <c r="E5" s="6" t="s">
        <v>137</v>
      </c>
    </row>
    <row r="6" customFormat="false" ht="52.2" hidden="false" customHeight="false" outlineLevel="0" collapsed="false">
      <c r="A6" s="5" t="n">
        <v>2</v>
      </c>
      <c r="B6" s="5" t="s">
        <v>883</v>
      </c>
      <c r="C6" s="5" t="s">
        <v>884</v>
      </c>
      <c r="D6" s="5" t="s">
        <v>885</v>
      </c>
      <c r="E6" s="6" t="n">
        <f aca="false">COUNTIF('Cuentas CRM y homologación'!$J$2:$J$22,"&lt;&gt;Food &amp; Beverage")</f>
        <v>1</v>
      </c>
    </row>
    <row r="7" customFormat="false" ht="26.85" hidden="false" customHeight="false" outlineLevel="0" collapsed="false">
      <c r="A7" s="5" t="n">
        <v>3</v>
      </c>
      <c r="B7" s="5" t="s">
        <v>886</v>
      </c>
      <c r="C7" s="5" t="s">
        <v>887</v>
      </c>
      <c r="D7" s="5" t="s">
        <v>888</v>
      </c>
      <c r="E7" s="6" t="n">
        <f aca="false">COUNTIF('Cuentas CRM y homologación'!$K$2:$K$22,"&lt;&gt;Manufacturing - Food Processing")</f>
        <v>6</v>
      </c>
    </row>
    <row r="8" customFormat="false" ht="90.25" hidden="false" customHeight="false" outlineLevel="0" collapsed="false">
      <c r="A8" s="5" t="n">
        <v>4</v>
      </c>
      <c r="B8" s="5" t="s">
        <v>889</v>
      </c>
      <c r="C8" s="5" t="s">
        <v>890</v>
      </c>
      <c r="D8" s="5" t="s">
        <v>891</v>
      </c>
      <c r="E8" s="6" t="n">
        <f aca="false">COUNTIF('Cuentas CRM y homologación'!$I$2:$I$22,"&lt;&gt;End User")</f>
        <v>3</v>
      </c>
    </row>
    <row r="9" customFormat="false" ht="26.85" hidden="false" customHeight="false" outlineLevel="0" collapsed="false">
      <c r="A9" s="5" t="n">
        <v>5</v>
      </c>
      <c r="B9" s="5" t="s">
        <v>892</v>
      </c>
      <c r="C9" s="5" t="s">
        <v>893</v>
      </c>
      <c r="D9" s="5" t="s">
        <v>894</v>
      </c>
      <c r="E9" s="6" t="n">
        <f aca="false">COUNTIF('Cuentas CRM y homologación'!$L$2:$L$22,"(vacío)")</f>
        <v>21</v>
      </c>
    </row>
    <row r="10" customFormat="false" ht="64.9" hidden="false" customHeight="false" outlineLevel="0" collapsed="false">
      <c r="A10" s="5" t="n">
        <v>6</v>
      </c>
      <c r="B10" s="5" t="s">
        <v>895</v>
      </c>
      <c r="C10" s="5" t="s">
        <v>896</v>
      </c>
      <c r="D10" s="5" t="s">
        <v>897</v>
      </c>
      <c r="E10" s="6" t="n">
        <f aca="false">SUMPRODUCT(--ISNUMBER(SEARCH("inactive",'Cuentas CRM y homologación'!$G$2:$G$22)))+COUNTIF('Cuentas CRM y homologación'!$G$2:$G$22,"Cesar Vázquez")+COUNTIF('Cuentas CRM y homologación'!$G$2:$G$22,"Dan Weller")+COUNTIF('Cuentas CRM y homologación'!$G$2:$G$22,"Ricardo Narvaez")</f>
        <v>8</v>
      </c>
    </row>
    <row r="11" customFormat="false" ht="64.9" hidden="false" customHeight="false" outlineLevel="0" collapsed="false">
      <c r="A11" s="5" t="n">
        <v>7</v>
      </c>
      <c r="B11" s="5" t="s">
        <v>898</v>
      </c>
      <c r="C11" s="5" t="s">
        <v>899</v>
      </c>
      <c r="D11" s="5" t="s">
        <v>900</v>
      </c>
      <c r="E11" s="6" t="s">
        <v>137</v>
      </c>
    </row>
    <row r="12" customFormat="false" ht="26.85" hidden="false" customHeight="false" outlineLevel="0" collapsed="false">
      <c r="A12" s="5" t="n">
        <v>8</v>
      </c>
      <c r="B12" s="5" t="s">
        <v>901</v>
      </c>
      <c r="C12" s="5" t="s">
        <v>902</v>
      </c>
      <c r="D12" s="5" t="s">
        <v>903</v>
      </c>
      <c r="E12" s="6" t="n">
        <f aca="false">COUNTIF('Cuentas CRM y homologación'!$O$2:$O$22,"No")</f>
        <v>2</v>
      </c>
    </row>
    <row r="13" customFormat="false" ht="39.55" hidden="false" customHeight="false" outlineLevel="0" collapsed="false">
      <c r="A13" s="5" t="n">
        <v>9</v>
      </c>
      <c r="B13" s="5" t="s">
        <v>904</v>
      </c>
      <c r="C13" s="5" t="s">
        <v>905</v>
      </c>
      <c r="D13" s="5" t="s">
        <v>906</v>
      </c>
      <c r="E13" s="6" t="n">
        <f aca="false">COUNTIFS(Oportunidades!$D$2:$D$71,"Sí",Oportunidades!$X$2:$X$71,"&lt;&gt;Food &amp; Beverage")</f>
        <v>24</v>
      </c>
    </row>
    <row r="14" customFormat="false" ht="64.9" hidden="false" customHeight="false" outlineLevel="0" collapsed="false">
      <c r="A14" s="5" t="n">
        <v>10</v>
      </c>
      <c r="B14" s="5" t="s">
        <v>907</v>
      </c>
      <c r="C14" s="5" t="s">
        <v>908</v>
      </c>
      <c r="D14" s="5" t="s">
        <v>909</v>
      </c>
      <c r="E14" s="6" t="n">
        <f aca="false">COUNTIFS(Oportunidades!$D$2:$D$71,"Sí",Oportunidades!$M$2:$M$71,2.1)</f>
        <v>0</v>
      </c>
    </row>
  </sheetData>
  <mergeCells count="1">
    <mergeCell ref="A2:E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70"/>
    <col collapsed="false" customWidth="true" hidden="false" outlineLevel="0" max="4" min="4" style="0" width="50"/>
  </cols>
  <sheetData>
    <row r="1" customFormat="false" ht="16.15" hidden="false" customHeight="false" outlineLevel="0" collapsed="false">
      <c r="A1" s="17" t="s">
        <v>910</v>
      </c>
    </row>
    <row r="3" customFormat="false" ht="42" hidden="false" customHeight="true" outlineLevel="0" collapsed="false">
      <c r="A3" s="4" t="s">
        <v>817</v>
      </c>
      <c r="B3" s="4" t="s">
        <v>911</v>
      </c>
      <c r="C3" s="4" t="s">
        <v>912</v>
      </c>
      <c r="D3" s="4" t="s">
        <v>913</v>
      </c>
    </row>
    <row r="4" customFormat="false" ht="64.9" hidden="false" customHeight="false" outlineLevel="0" collapsed="false">
      <c r="A4" s="5" t="n">
        <v>1</v>
      </c>
      <c r="B4" s="5" t="s">
        <v>914</v>
      </c>
      <c r="C4" s="5" t="s">
        <v>915</v>
      </c>
      <c r="D4" s="5" t="s">
        <v>916</v>
      </c>
    </row>
    <row r="5" customFormat="false" ht="39.55" hidden="false" customHeight="false" outlineLevel="0" collapsed="false">
      <c r="A5" s="5" t="n">
        <v>2</v>
      </c>
      <c r="B5" s="5" t="s">
        <v>917</v>
      </c>
      <c r="C5" s="5" t="s">
        <v>918</v>
      </c>
      <c r="D5" s="5" t="s">
        <v>919</v>
      </c>
    </row>
    <row r="6" customFormat="false" ht="26.85" hidden="false" customHeight="false" outlineLevel="0" collapsed="false">
      <c r="A6" s="5" t="n">
        <v>3</v>
      </c>
      <c r="B6" s="5" t="s">
        <v>920</v>
      </c>
      <c r="C6" s="5" t="s">
        <v>921</v>
      </c>
      <c r="D6" s="5" t="s">
        <v>922</v>
      </c>
    </row>
    <row r="7" customFormat="false" ht="39.55" hidden="false" customHeight="false" outlineLevel="0" collapsed="false">
      <c r="A7" s="5" t="n">
        <v>4</v>
      </c>
      <c r="B7" s="5" t="s">
        <v>923</v>
      </c>
      <c r="C7" s="5" t="s">
        <v>924</v>
      </c>
      <c r="D7" s="5" t="s">
        <v>925</v>
      </c>
    </row>
    <row r="8" customFormat="false" ht="26.85" hidden="false" customHeight="false" outlineLevel="0" collapsed="false">
      <c r="A8" s="5" t="n">
        <v>5</v>
      </c>
      <c r="B8" s="5" t="s">
        <v>926</v>
      </c>
      <c r="C8" s="5" t="s">
        <v>927</v>
      </c>
      <c r="D8" s="5" t="s">
        <v>928</v>
      </c>
    </row>
    <row r="9" customFormat="false" ht="52.2" hidden="false" customHeight="false" outlineLevel="0" collapsed="false">
      <c r="A9" s="5" t="n">
        <v>6</v>
      </c>
      <c r="B9" s="5" t="s">
        <v>929</v>
      </c>
      <c r="C9" s="5" t="s">
        <v>930</v>
      </c>
      <c r="D9" s="5" t="s">
        <v>931</v>
      </c>
    </row>
    <row r="10" customFormat="false" ht="52.2" hidden="false" customHeight="false" outlineLevel="0" collapsed="false">
      <c r="A10" s="5" t="n">
        <v>7</v>
      </c>
      <c r="B10" s="5" t="s">
        <v>932</v>
      </c>
      <c r="C10" s="5" t="s">
        <v>933</v>
      </c>
      <c r="D10" s="5" t="s">
        <v>934</v>
      </c>
    </row>
    <row r="11" customFormat="false" ht="26.85" hidden="false" customHeight="false" outlineLevel="0" collapsed="false">
      <c r="A11" s="5" t="n">
        <v>8</v>
      </c>
      <c r="B11" s="5" t="s">
        <v>935</v>
      </c>
      <c r="C11" s="5" t="s">
        <v>936</v>
      </c>
      <c r="D11" s="5" t="s">
        <v>937</v>
      </c>
    </row>
    <row r="12" customFormat="false" ht="26.85" hidden="false" customHeight="false" outlineLevel="0" collapsed="false">
      <c r="A12" s="5" t="n">
        <v>9</v>
      </c>
      <c r="B12" s="5" t="s">
        <v>938</v>
      </c>
      <c r="C12" s="5" t="s">
        <v>939</v>
      </c>
      <c r="D12" s="5" t="s">
        <v>940</v>
      </c>
    </row>
    <row r="13" customFormat="false" ht="26.85" hidden="false" customHeight="false" outlineLevel="0" collapsed="false">
      <c r="A13" s="5" t="n">
        <v>10</v>
      </c>
      <c r="B13" s="5" t="s">
        <v>941</v>
      </c>
      <c r="C13" s="5" t="s">
        <v>942</v>
      </c>
      <c r="D13" s="5" t="s">
        <v>943</v>
      </c>
    </row>
    <row r="14" customFormat="false" ht="39.55" hidden="false" customHeight="false" outlineLevel="0" collapsed="false">
      <c r="A14" s="5" t="n">
        <v>11</v>
      </c>
      <c r="B14" s="5" t="s">
        <v>944</v>
      </c>
      <c r="C14" s="5" t="s">
        <v>945</v>
      </c>
      <c r="D14" s="5" t="s">
        <v>946</v>
      </c>
    </row>
    <row r="15" customFormat="false" ht="39.55" hidden="false" customHeight="false" outlineLevel="0" collapsed="false">
      <c r="A15" s="5" t="n">
        <v>12</v>
      </c>
      <c r="B15" s="5" t="s">
        <v>947</v>
      </c>
      <c r="C15" s="5" t="s">
        <v>948</v>
      </c>
      <c r="D15" s="5" t="s">
        <v>949</v>
      </c>
    </row>
    <row r="16" customFormat="false" ht="52.2" hidden="false" customHeight="false" outlineLevel="0" collapsed="false">
      <c r="A16" s="5" t="n">
        <v>13</v>
      </c>
      <c r="B16" s="5" t="s">
        <v>950</v>
      </c>
      <c r="C16" s="5" t="s">
        <v>951</v>
      </c>
      <c r="D16" s="5" t="s">
        <v>952</v>
      </c>
    </row>
    <row r="17" customFormat="false" ht="39.55" hidden="false" customHeight="false" outlineLevel="0" collapsed="false">
      <c r="A17" s="5" t="n">
        <v>14</v>
      </c>
      <c r="B17" s="5" t="s">
        <v>953</v>
      </c>
      <c r="C17" s="5" t="s">
        <v>954</v>
      </c>
      <c r="D17" s="5" t="s">
        <v>955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B4C"/>
    <pageSetUpPr fitToPage="true"/>
  </sheetPr>
  <dimension ref="A1:AC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3" min="3" style="0" width="44"/>
    <col collapsed="false" customWidth="true" hidden="false" outlineLevel="0" max="4" min="4" style="0" width="12"/>
    <col collapsed="false" customWidth="true" hidden="false" outlineLevel="0" max="5" min="5" style="0" width="26"/>
    <col collapsed="false" customWidth="true" hidden="false" outlineLevel="0" max="6" min="6" style="0" width="20"/>
    <col collapsed="false" customWidth="true" hidden="false" outlineLevel="0" max="7" min="7" style="0" width="16"/>
    <col collapsed="false" customWidth="true" hidden="false" outlineLevel="0" max="8" min="8" style="0" width="10"/>
    <col collapsed="false" customWidth="true" hidden="false" outlineLevel="0" max="9" min="9" style="0" width="12"/>
    <col collapsed="false" customWidth="true" hidden="false" outlineLevel="0" max="10" min="10" style="0" width="7"/>
    <col collapsed="false" customWidth="true" hidden="false" outlineLevel="0" max="11" min="11" style="0" width="16"/>
    <col collapsed="false" customWidth="true" hidden="false" outlineLevel="0" max="12" min="12" style="0" width="14"/>
    <col collapsed="false" customWidth="true" hidden="false" outlineLevel="0" max="13" min="13" style="0" width="9"/>
    <col collapsed="false" customWidth="true" hidden="false" outlineLevel="0" max="14" min="14" style="0" width="12"/>
    <col collapsed="false" customWidth="true" hidden="false" outlineLevel="0" max="15" min="15" style="0" width="34"/>
    <col collapsed="false" customWidth="true" hidden="false" outlineLevel="0" max="16" min="16" style="0" width="30"/>
    <col collapsed="false" customWidth="true" hidden="false" outlineLevel="0" max="17" min="17" style="0" width="26"/>
    <col collapsed="false" customWidth="true" hidden="false" outlineLevel="0" max="18" min="18" style="0" width="18"/>
    <col collapsed="false" customWidth="true" hidden="false" outlineLevel="0" max="19" min="19" style="0" width="44"/>
    <col collapsed="false" customWidth="true" hidden="false" outlineLevel="0" max="20" min="20" style="0" width="14"/>
    <col collapsed="false" customWidth="true" hidden="false" outlineLevel="0" max="21" min="21" style="0" width="30"/>
    <col collapsed="false" customWidth="true" hidden="false" outlineLevel="0" max="22" min="22" style="0" width="12"/>
    <col collapsed="false" customWidth="true" hidden="false" outlineLevel="0" max="23" min="23" style="0" width="18"/>
    <col collapsed="false" customWidth="true" hidden="false" outlineLevel="0" max="24" min="24" style="0" width="22"/>
    <col collapsed="false" customWidth="true" hidden="false" outlineLevel="0" max="25" min="25" style="0" width="28"/>
    <col collapsed="false" customWidth="true" hidden="false" outlineLevel="0" max="26" min="26" style="0" width="16"/>
    <col collapsed="false" customWidth="true" hidden="false" outlineLevel="0" max="27" min="27" style="0" width="40"/>
    <col collapsed="false" customWidth="true" hidden="false" outlineLevel="0" max="28" min="28" style="0" width="24"/>
    <col collapsed="false" customWidth="true" hidden="false" outlineLevel="0" max="29" min="29" style="0" width="30"/>
  </cols>
  <sheetData>
    <row r="1" customFormat="false" ht="42" hidden="false" customHeight="true" outlineLevel="0" collapsed="false">
      <c r="A1" s="4" t="s">
        <v>720</v>
      </c>
      <c r="B1" s="4" t="s">
        <v>956</v>
      </c>
      <c r="C1" s="4" t="s">
        <v>745</v>
      </c>
      <c r="D1" s="4" t="s">
        <v>957</v>
      </c>
      <c r="E1" s="4" t="s">
        <v>467</v>
      </c>
      <c r="F1" s="4" t="s">
        <v>958</v>
      </c>
      <c r="G1" s="4" t="s">
        <v>959</v>
      </c>
      <c r="H1" s="4" t="s">
        <v>746</v>
      </c>
      <c r="I1" s="4" t="s">
        <v>722</v>
      </c>
      <c r="J1" s="4" t="s">
        <v>709</v>
      </c>
      <c r="K1" s="4" t="s">
        <v>960</v>
      </c>
      <c r="L1" s="4" t="s">
        <v>961</v>
      </c>
      <c r="M1" s="4" t="s">
        <v>962</v>
      </c>
      <c r="N1" s="4" t="s">
        <v>963</v>
      </c>
      <c r="O1" s="4" t="s">
        <v>964</v>
      </c>
      <c r="P1" s="4" t="s">
        <v>701</v>
      </c>
      <c r="Q1" s="4" t="s">
        <v>965</v>
      </c>
      <c r="R1" s="4" t="s">
        <v>966</v>
      </c>
      <c r="S1" s="4" t="s">
        <v>967</v>
      </c>
      <c r="T1" s="4" t="s">
        <v>968</v>
      </c>
      <c r="U1" s="4" t="s">
        <v>469</v>
      </c>
      <c r="V1" s="4" t="s">
        <v>969</v>
      </c>
      <c r="W1" s="4" t="s">
        <v>970</v>
      </c>
      <c r="X1" s="4" t="s">
        <v>971</v>
      </c>
      <c r="Y1" s="4" t="s">
        <v>972</v>
      </c>
      <c r="Z1" s="4" t="s">
        <v>725</v>
      </c>
      <c r="AA1" s="4" t="s">
        <v>748</v>
      </c>
      <c r="AB1" s="4" t="s">
        <v>973</v>
      </c>
      <c r="AC1" s="4" t="s">
        <v>974</v>
      </c>
    </row>
    <row r="2" customFormat="false" ht="26.85" hidden="false" customHeight="false" outlineLevel="0" collapsed="false">
      <c r="A2" s="28" t="s">
        <v>775</v>
      </c>
      <c r="B2" s="5" t="s">
        <v>776</v>
      </c>
      <c r="C2" s="5" t="s">
        <v>590</v>
      </c>
      <c r="D2" s="5" t="s">
        <v>133</v>
      </c>
      <c r="E2" s="5" t="s">
        <v>570</v>
      </c>
      <c r="F2" s="5" t="s">
        <v>199</v>
      </c>
      <c r="G2" s="5" t="s">
        <v>200</v>
      </c>
      <c r="H2" s="5" t="s">
        <v>752</v>
      </c>
      <c r="I2" s="15" t="n">
        <v>45225</v>
      </c>
      <c r="J2" s="5" t="n">
        <v>2023</v>
      </c>
      <c r="K2" s="26" t="n">
        <v>896674.02</v>
      </c>
      <c r="L2" s="5" t="s">
        <v>166</v>
      </c>
      <c r="M2" s="5" t="s">
        <v>975</v>
      </c>
      <c r="N2" s="5" t="s">
        <v>976</v>
      </c>
      <c r="O2" s="5" t="s">
        <v>977</v>
      </c>
      <c r="P2" s="5" t="s">
        <v>706</v>
      </c>
      <c r="Q2" s="5" t="s">
        <v>978</v>
      </c>
      <c r="R2" s="5"/>
      <c r="S2" s="5" t="s">
        <v>979</v>
      </c>
      <c r="T2" s="5" t="s">
        <v>980</v>
      </c>
      <c r="U2" s="5" t="s">
        <v>572</v>
      </c>
      <c r="V2" s="5" t="s">
        <v>166</v>
      </c>
      <c r="W2" s="5" t="s">
        <v>593</v>
      </c>
      <c r="X2" s="5" t="s">
        <v>493</v>
      </c>
      <c r="Y2" s="5" t="s">
        <v>494</v>
      </c>
      <c r="Z2" s="5" t="s">
        <v>753</v>
      </c>
      <c r="AA2" s="5" t="s">
        <v>777</v>
      </c>
      <c r="AB2" s="5"/>
      <c r="AC2" s="5" t="s">
        <v>981</v>
      </c>
    </row>
    <row r="3" customFormat="false" ht="26.85" hidden="false" customHeight="false" outlineLevel="0" collapsed="false">
      <c r="A3" s="28" t="s">
        <v>750</v>
      </c>
      <c r="B3" s="5" t="s">
        <v>751</v>
      </c>
      <c r="C3" s="5" t="s">
        <v>502</v>
      </c>
      <c r="D3" s="5" t="s">
        <v>133</v>
      </c>
      <c r="E3" s="5" t="s">
        <v>503</v>
      </c>
      <c r="F3" s="5" t="s">
        <v>126</v>
      </c>
      <c r="G3" s="5" t="s">
        <v>127</v>
      </c>
      <c r="H3" s="5" t="s">
        <v>752</v>
      </c>
      <c r="I3" s="15" t="n">
        <v>43585</v>
      </c>
      <c r="J3" s="5" t="n">
        <v>2019</v>
      </c>
      <c r="K3" s="26" t="n">
        <v>1855035.99</v>
      </c>
      <c r="L3" s="5" t="s">
        <v>166</v>
      </c>
      <c r="M3" s="5" t="s">
        <v>982</v>
      </c>
      <c r="N3" s="5" t="s">
        <v>983</v>
      </c>
      <c r="O3" s="5" t="s">
        <v>984</v>
      </c>
      <c r="P3" s="5" t="s">
        <v>703</v>
      </c>
      <c r="Q3" s="5" t="s">
        <v>978</v>
      </c>
      <c r="R3" s="5"/>
      <c r="S3" s="5" t="s">
        <v>985</v>
      </c>
      <c r="T3" s="5" t="s">
        <v>986</v>
      </c>
      <c r="U3" s="5" t="s">
        <v>506</v>
      </c>
      <c r="V3" s="5" t="s">
        <v>133</v>
      </c>
      <c r="W3" s="5" t="s">
        <v>492</v>
      </c>
      <c r="X3" s="5" t="s">
        <v>987</v>
      </c>
      <c r="Y3" s="5" t="s">
        <v>988</v>
      </c>
      <c r="Z3" s="5" t="s">
        <v>753</v>
      </c>
      <c r="AA3" s="5" t="s">
        <v>754</v>
      </c>
      <c r="AB3" s="5"/>
      <c r="AC3" s="5" t="s">
        <v>989</v>
      </c>
    </row>
    <row r="4" customFormat="false" ht="26.85" hidden="false" customHeight="false" outlineLevel="0" collapsed="false">
      <c r="A4" s="28" t="s">
        <v>760</v>
      </c>
      <c r="B4" s="5" t="s">
        <v>761</v>
      </c>
      <c r="C4" s="5" t="s">
        <v>502</v>
      </c>
      <c r="D4" s="5" t="s">
        <v>133</v>
      </c>
      <c r="E4" s="5" t="s">
        <v>503</v>
      </c>
      <c r="F4" s="5" t="s">
        <v>126</v>
      </c>
      <c r="G4" s="5" t="s">
        <v>127</v>
      </c>
      <c r="H4" s="5" t="s">
        <v>752</v>
      </c>
      <c r="I4" s="15" t="n">
        <v>43945</v>
      </c>
      <c r="J4" s="5" t="n">
        <v>2020</v>
      </c>
      <c r="K4" s="26" t="n">
        <v>371007.16</v>
      </c>
      <c r="L4" s="5" t="s">
        <v>166</v>
      </c>
      <c r="M4" s="5" t="s">
        <v>990</v>
      </c>
      <c r="N4" s="5" t="s">
        <v>983</v>
      </c>
      <c r="O4" s="5" t="s">
        <v>984</v>
      </c>
      <c r="P4" s="5" t="s">
        <v>703</v>
      </c>
      <c r="Q4" s="5" t="s">
        <v>978</v>
      </c>
      <c r="R4" s="5"/>
      <c r="S4" s="5" t="s">
        <v>985</v>
      </c>
      <c r="T4" s="5" t="s">
        <v>986</v>
      </c>
      <c r="U4" s="5" t="s">
        <v>506</v>
      </c>
      <c r="V4" s="5" t="s">
        <v>133</v>
      </c>
      <c r="W4" s="5" t="s">
        <v>492</v>
      </c>
      <c r="X4" s="5" t="s">
        <v>987</v>
      </c>
      <c r="Y4" s="5" t="s">
        <v>494</v>
      </c>
      <c r="Z4" s="5" t="s">
        <v>753</v>
      </c>
      <c r="AA4" s="5" t="s">
        <v>754</v>
      </c>
      <c r="AB4" s="5"/>
      <c r="AC4" s="5" t="s">
        <v>989</v>
      </c>
    </row>
    <row r="5" customFormat="false" ht="26.85" hidden="false" customHeight="false" outlineLevel="0" collapsed="false">
      <c r="A5" s="28" t="s">
        <v>762</v>
      </c>
      <c r="B5" s="5" t="s">
        <v>763</v>
      </c>
      <c r="C5" s="5" t="s">
        <v>502</v>
      </c>
      <c r="D5" s="5" t="s">
        <v>133</v>
      </c>
      <c r="E5" s="5" t="s">
        <v>503</v>
      </c>
      <c r="F5" s="5" t="s">
        <v>126</v>
      </c>
      <c r="G5" s="5" t="s">
        <v>127</v>
      </c>
      <c r="H5" s="5" t="s">
        <v>752</v>
      </c>
      <c r="I5" s="15" t="n">
        <v>44527</v>
      </c>
      <c r="J5" s="5" t="n">
        <v>2021</v>
      </c>
      <c r="K5" s="26" t="n">
        <v>788217.01</v>
      </c>
      <c r="L5" s="5" t="s">
        <v>166</v>
      </c>
      <c r="M5" s="5" t="s">
        <v>991</v>
      </c>
      <c r="N5" s="5" t="s">
        <v>976</v>
      </c>
      <c r="O5" s="5" t="s">
        <v>984</v>
      </c>
      <c r="P5" s="5" t="s">
        <v>703</v>
      </c>
      <c r="Q5" s="5" t="s">
        <v>992</v>
      </c>
      <c r="R5" s="5"/>
      <c r="S5" s="5"/>
      <c r="T5" s="5" t="s">
        <v>986</v>
      </c>
      <c r="U5" s="5" t="s">
        <v>506</v>
      </c>
      <c r="V5" s="5" t="s">
        <v>133</v>
      </c>
      <c r="W5" s="5" t="s">
        <v>492</v>
      </c>
      <c r="X5" s="5" t="s">
        <v>493</v>
      </c>
      <c r="Y5" s="5" t="s">
        <v>494</v>
      </c>
      <c r="Z5" s="5" t="s">
        <v>764</v>
      </c>
      <c r="AA5" s="5" t="s">
        <v>765</v>
      </c>
      <c r="AB5" s="5"/>
      <c r="AC5" s="5" t="s">
        <v>993</v>
      </c>
    </row>
    <row r="6" customFormat="false" ht="26.85" hidden="false" customHeight="false" outlineLevel="0" collapsed="false">
      <c r="A6" s="28" t="s">
        <v>785</v>
      </c>
      <c r="B6" s="5" t="s">
        <v>786</v>
      </c>
      <c r="C6" s="5" t="s">
        <v>186</v>
      </c>
      <c r="D6" s="5" t="s">
        <v>133</v>
      </c>
      <c r="E6" s="5" t="s">
        <v>580</v>
      </c>
      <c r="F6" s="5" t="s">
        <v>183</v>
      </c>
      <c r="G6" s="5" t="s">
        <v>184</v>
      </c>
      <c r="H6" s="5" t="s">
        <v>752</v>
      </c>
      <c r="I6" s="15" t="n">
        <v>46227</v>
      </c>
      <c r="J6" s="5" t="n">
        <v>2026</v>
      </c>
      <c r="K6" s="26" t="n">
        <v>420399.95</v>
      </c>
      <c r="L6" s="5" t="s">
        <v>166</v>
      </c>
      <c r="M6" s="5" t="s">
        <v>994</v>
      </c>
      <c r="N6" s="5" t="s">
        <v>976</v>
      </c>
      <c r="O6" s="5" t="s">
        <v>995</v>
      </c>
      <c r="P6" s="5" t="s">
        <v>707</v>
      </c>
      <c r="Q6" s="5" t="s">
        <v>992</v>
      </c>
      <c r="R6" s="5"/>
      <c r="S6" s="5" t="s">
        <v>996</v>
      </c>
      <c r="T6" s="5" t="s">
        <v>997</v>
      </c>
      <c r="U6" s="5" t="s">
        <v>582</v>
      </c>
      <c r="V6" s="5" t="s">
        <v>166</v>
      </c>
      <c r="W6" s="5" t="s">
        <v>583</v>
      </c>
      <c r="X6" s="5" t="s">
        <v>493</v>
      </c>
      <c r="Y6" s="5" t="s">
        <v>494</v>
      </c>
      <c r="Z6" s="5" t="s">
        <v>764</v>
      </c>
      <c r="AA6" s="5" t="s">
        <v>787</v>
      </c>
      <c r="AB6" s="5"/>
      <c r="AC6" s="5" t="s">
        <v>993</v>
      </c>
    </row>
    <row r="7" customFormat="false" ht="26.85" hidden="false" customHeight="false" outlineLevel="0" collapsed="false">
      <c r="A7" s="28" t="s">
        <v>802</v>
      </c>
      <c r="B7" s="5" t="s">
        <v>803</v>
      </c>
      <c r="C7" s="5" t="s">
        <v>186</v>
      </c>
      <c r="D7" s="5" t="s">
        <v>133</v>
      </c>
      <c r="E7" s="5" t="s">
        <v>580</v>
      </c>
      <c r="F7" s="5" t="s">
        <v>183</v>
      </c>
      <c r="G7" s="5" t="s">
        <v>184</v>
      </c>
      <c r="H7" s="5" t="s">
        <v>804</v>
      </c>
      <c r="I7" s="15" t="n">
        <v>46304</v>
      </c>
      <c r="J7" s="5" t="n">
        <v>2026</v>
      </c>
      <c r="K7" s="26" t="n">
        <v>291251.99</v>
      </c>
      <c r="L7" s="5" t="s">
        <v>166</v>
      </c>
      <c r="M7" s="5" t="s">
        <v>994</v>
      </c>
      <c r="N7" s="5" t="s">
        <v>976</v>
      </c>
      <c r="O7" s="5" t="s">
        <v>998</v>
      </c>
      <c r="P7" s="5" t="s">
        <v>704</v>
      </c>
      <c r="Q7" s="5" t="s">
        <v>992</v>
      </c>
      <c r="R7" s="5"/>
      <c r="S7" s="5" t="s">
        <v>996</v>
      </c>
      <c r="T7" s="5" t="s">
        <v>997</v>
      </c>
      <c r="U7" s="5" t="s">
        <v>582</v>
      </c>
      <c r="V7" s="5" t="s">
        <v>166</v>
      </c>
      <c r="W7" s="5" t="s">
        <v>583</v>
      </c>
      <c r="X7" s="5" t="s">
        <v>493</v>
      </c>
      <c r="Y7" s="5" t="s">
        <v>494</v>
      </c>
      <c r="Z7" s="5" t="s">
        <v>764</v>
      </c>
      <c r="AA7" s="5" t="s">
        <v>787</v>
      </c>
      <c r="AB7" s="5"/>
      <c r="AC7" s="5" t="s">
        <v>993</v>
      </c>
    </row>
    <row r="8" customFormat="false" ht="39.55" hidden="false" customHeight="false" outlineLevel="0" collapsed="false">
      <c r="A8" s="28" t="s">
        <v>729</v>
      </c>
      <c r="B8" s="5" t="s">
        <v>999</v>
      </c>
      <c r="C8" s="5" t="s">
        <v>600</v>
      </c>
      <c r="D8" s="5" t="s">
        <v>133</v>
      </c>
      <c r="E8" s="5" t="s">
        <v>503</v>
      </c>
      <c r="F8" s="5" t="s">
        <v>126</v>
      </c>
      <c r="G8" s="5" t="s">
        <v>127</v>
      </c>
      <c r="H8" s="5" t="s">
        <v>752</v>
      </c>
      <c r="I8" s="15" t="n">
        <v>44065</v>
      </c>
      <c r="J8" s="5" t="n">
        <v>2020</v>
      </c>
      <c r="K8" s="26" t="n">
        <v>556510.74</v>
      </c>
      <c r="L8" s="5" t="s">
        <v>166</v>
      </c>
      <c r="M8" s="5" t="s">
        <v>994</v>
      </c>
      <c r="N8" s="5" t="s">
        <v>983</v>
      </c>
      <c r="O8" s="5" t="s">
        <v>984</v>
      </c>
      <c r="P8" s="5" t="s">
        <v>703</v>
      </c>
      <c r="Q8" s="5" t="s">
        <v>978</v>
      </c>
      <c r="R8" s="5"/>
      <c r="S8" s="5" t="s">
        <v>1000</v>
      </c>
      <c r="T8" s="5" t="s">
        <v>986</v>
      </c>
      <c r="U8" s="5" t="s">
        <v>505</v>
      </c>
      <c r="V8" s="5" t="s">
        <v>166</v>
      </c>
      <c r="W8" s="5" t="s">
        <v>492</v>
      </c>
      <c r="X8" s="5" t="s">
        <v>987</v>
      </c>
      <c r="Y8" s="5" t="s">
        <v>494</v>
      </c>
      <c r="Z8" s="5" t="s">
        <v>1001</v>
      </c>
      <c r="AA8" s="5" t="s">
        <v>1002</v>
      </c>
      <c r="AB8" s="5"/>
      <c r="AC8" s="5" t="s">
        <v>989</v>
      </c>
    </row>
    <row r="9" customFormat="false" ht="39.55" hidden="false" customHeight="false" outlineLevel="0" collapsed="false">
      <c r="A9" s="28" t="s">
        <v>726</v>
      </c>
      <c r="B9" s="5" t="s">
        <v>1003</v>
      </c>
      <c r="C9" s="5" t="s">
        <v>600</v>
      </c>
      <c r="D9" s="5" t="s">
        <v>133</v>
      </c>
      <c r="E9" s="5" t="s">
        <v>503</v>
      </c>
      <c r="F9" s="5" t="s">
        <v>126</v>
      </c>
      <c r="G9" s="5" t="s">
        <v>127</v>
      </c>
      <c r="H9" s="5" t="s">
        <v>752</v>
      </c>
      <c r="I9" s="15" t="n">
        <v>44741</v>
      </c>
      <c r="J9" s="5" t="n">
        <v>2022</v>
      </c>
      <c r="K9" s="26" t="n">
        <v>963376.43</v>
      </c>
      <c r="L9" s="5" t="s">
        <v>166</v>
      </c>
      <c r="M9" s="5" t="s">
        <v>975</v>
      </c>
      <c r="N9" s="5" t="s">
        <v>983</v>
      </c>
      <c r="O9" s="5" t="s">
        <v>984</v>
      </c>
      <c r="P9" s="5" t="s">
        <v>703</v>
      </c>
      <c r="Q9" s="5" t="s">
        <v>992</v>
      </c>
      <c r="R9" s="5"/>
      <c r="S9" s="5" t="s">
        <v>1000</v>
      </c>
      <c r="T9" s="5" t="s">
        <v>986</v>
      </c>
      <c r="U9" s="5" t="s">
        <v>506</v>
      </c>
      <c r="V9" s="5" t="s">
        <v>133</v>
      </c>
      <c r="W9" s="5" t="s">
        <v>492</v>
      </c>
      <c r="X9" s="5" t="s">
        <v>493</v>
      </c>
      <c r="Y9" s="5" t="s">
        <v>494</v>
      </c>
      <c r="Z9" s="5" t="s">
        <v>1001</v>
      </c>
      <c r="AA9" s="5" t="s">
        <v>1002</v>
      </c>
      <c r="AB9" s="5"/>
      <c r="AC9" s="5" t="s">
        <v>989</v>
      </c>
    </row>
    <row r="10" customFormat="false" ht="39.55" hidden="false" customHeight="false" outlineLevel="0" collapsed="false">
      <c r="A10" s="28" t="s">
        <v>1004</v>
      </c>
      <c r="B10" s="5" t="s">
        <v>1005</v>
      </c>
      <c r="C10" s="5" t="s">
        <v>438</v>
      </c>
      <c r="D10" s="5" t="s">
        <v>133</v>
      </c>
      <c r="E10" s="5" t="s">
        <v>488</v>
      </c>
      <c r="F10" s="5" t="s">
        <v>487</v>
      </c>
      <c r="G10" s="5" t="s">
        <v>227</v>
      </c>
      <c r="H10" s="5" t="s">
        <v>791</v>
      </c>
      <c r="I10" s="15" t="n">
        <v>45261</v>
      </c>
      <c r="J10" s="5" t="n">
        <v>2023</v>
      </c>
      <c r="K10" s="26" t="n">
        <v>179334.87</v>
      </c>
      <c r="L10" s="5" t="s">
        <v>166</v>
      </c>
      <c r="M10" s="5" t="s">
        <v>994</v>
      </c>
      <c r="N10" s="5" t="s">
        <v>976</v>
      </c>
      <c r="O10" s="5" t="s">
        <v>984</v>
      </c>
      <c r="P10" s="5" t="s">
        <v>703</v>
      </c>
      <c r="Q10" s="5" t="s">
        <v>978</v>
      </c>
      <c r="R10" s="5" t="s">
        <v>1006</v>
      </c>
      <c r="S10" s="5" t="s">
        <v>1007</v>
      </c>
      <c r="T10" s="5" t="s">
        <v>1008</v>
      </c>
      <c r="U10" s="5" t="s">
        <v>491</v>
      </c>
      <c r="V10" s="5" t="s">
        <v>133</v>
      </c>
      <c r="W10" s="5" t="s">
        <v>492</v>
      </c>
      <c r="X10" s="5" t="s">
        <v>493</v>
      </c>
      <c r="Y10" s="5" t="s">
        <v>494</v>
      </c>
      <c r="Z10" s="5" t="s">
        <v>1001</v>
      </c>
      <c r="AA10" s="5" t="s">
        <v>1002</v>
      </c>
      <c r="AB10" s="5"/>
      <c r="AC10" s="5" t="s">
        <v>993</v>
      </c>
    </row>
    <row r="11" customFormat="false" ht="26.85" hidden="false" customHeight="false" outlineLevel="0" collapsed="false">
      <c r="A11" s="28" t="s">
        <v>794</v>
      </c>
      <c r="B11" s="5" t="s">
        <v>795</v>
      </c>
      <c r="C11" s="5" t="s">
        <v>438</v>
      </c>
      <c r="D11" s="5" t="s">
        <v>133</v>
      </c>
      <c r="E11" s="5" t="s">
        <v>488</v>
      </c>
      <c r="F11" s="5" t="s">
        <v>487</v>
      </c>
      <c r="G11" s="5" t="s">
        <v>227</v>
      </c>
      <c r="H11" s="5" t="s">
        <v>791</v>
      </c>
      <c r="I11" s="15" t="n">
        <v>45421</v>
      </c>
      <c r="J11" s="5" t="n">
        <v>2024</v>
      </c>
      <c r="K11" s="26" t="n">
        <v>305372.03</v>
      </c>
      <c r="L11" s="5" t="s">
        <v>166</v>
      </c>
      <c r="M11" s="5" t="s">
        <v>975</v>
      </c>
      <c r="N11" s="5" t="s">
        <v>976</v>
      </c>
      <c r="O11" s="5" t="s">
        <v>1009</v>
      </c>
      <c r="P11" s="5" t="s">
        <v>704</v>
      </c>
      <c r="Q11" s="5" t="s">
        <v>978</v>
      </c>
      <c r="R11" s="5"/>
      <c r="S11" s="5" t="s">
        <v>1010</v>
      </c>
      <c r="T11" s="5" t="s">
        <v>1008</v>
      </c>
      <c r="U11" s="5" t="s">
        <v>491</v>
      </c>
      <c r="V11" s="5" t="s">
        <v>133</v>
      </c>
      <c r="W11" s="5" t="s">
        <v>492</v>
      </c>
      <c r="X11" s="5" t="s">
        <v>493</v>
      </c>
      <c r="Y11" s="5" t="s">
        <v>494</v>
      </c>
      <c r="Z11" s="5" t="s">
        <v>764</v>
      </c>
      <c r="AA11" s="5" t="s">
        <v>796</v>
      </c>
      <c r="AB11" s="5"/>
      <c r="AC11" s="5" t="s">
        <v>1011</v>
      </c>
    </row>
    <row r="12" customFormat="false" ht="39.55" hidden="false" customHeight="false" outlineLevel="0" collapsed="false">
      <c r="A12" s="28" t="s">
        <v>1012</v>
      </c>
      <c r="B12" s="5" t="s">
        <v>1013</v>
      </c>
      <c r="C12" s="5" t="s">
        <v>643</v>
      </c>
      <c r="D12" s="5" t="s">
        <v>133</v>
      </c>
      <c r="E12" s="5" t="s">
        <v>488</v>
      </c>
      <c r="F12" s="5" t="s">
        <v>644</v>
      </c>
      <c r="G12" s="5" t="s">
        <v>645</v>
      </c>
      <c r="H12" s="5" t="s">
        <v>791</v>
      </c>
      <c r="I12" s="15" t="n">
        <v>44729</v>
      </c>
      <c r="J12" s="5" t="n">
        <v>2022</v>
      </c>
      <c r="K12" s="26" t="n">
        <v>131369.47</v>
      </c>
      <c r="L12" s="5" t="s">
        <v>166</v>
      </c>
      <c r="M12" s="5" t="s">
        <v>975</v>
      </c>
      <c r="N12" s="5" t="s">
        <v>976</v>
      </c>
      <c r="O12" s="5" t="s">
        <v>1014</v>
      </c>
      <c r="P12" s="5" t="s">
        <v>704</v>
      </c>
      <c r="Q12" s="5" t="s">
        <v>992</v>
      </c>
      <c r="R12" s="5"/>
      <c r="S12" s="5" t="s">
        <v>1015</v>
      </c>
      <c r="T12" s="5" t="s">
        <v>1008</v>
      </c>
      <c r="U12" s="5" t="s">
        <v>1016</v>
      </c>
      <c r="V12" s="5" t="s">
        <v>133</v>
      </c>
      <c r="W12" s="5" t="s">
        <v>492</v>
      </c>
      <c r="X12" s="5" t="s">
        <v>493</v>
      </c>
      <c r="Y12" s="5" t="s">
        <v>494</v>
      </c>
      <c r="Z12" s="5" t="s">
        <v>1001</v>
      </c>
      <c r="AA12" s="5" t="s">
        <v>1002</v>
      </c>
      <c r="AB12" s="5"/>
      <c r="AC12" s="5" t="s">
        <v>981</v>
      </c>
    </row>
    <row r="13" customFormat="false" ht="39.55" hidden="false" customHeight="false" outlineLevel="0" collapsed="false">
      <c r="A13" s="28" t="s">
        <v>1017</v>
      </c>
      <c r="B13" s="5" t="s">
        <v>1018</v>
      </c>
      <c r="C13" s="5" t="s">
        <v>643</v>
      </c>
      <c r="D13" s="5" t="s">
        <v>133</v>
      </c>
      <c r="E13" s="5" t="s">
        <v>488</v>
      </c>
      <c r="F13" s="5" t="s">
        <v>644</v>
      </c>
      <c r="G13" s="5" t="s">
        <v>645</v>
      </c>
      <c r="H13" s="5" t="s">
        <v>791</v>
      </c>
      <c r="I13" s="15" t="n">
        <v>44785</v>
      </c>
      <c r="J13" s="5" t="n">
        <v>2022</v>
      </c>
      <c r="K13" s="26" t="n">
        <v>131369.47</v>
      </c>
      <c r="L13" s="5" t="s">
        <v>166</v>
      </c>
      <c r="M13" s="5" t="s">
        <v>975</v>
      </c>
      <c r="N13" s="5" t="s">
        <v>976</v>
      </c>
      <c r="O13" s="5" t="s">
        <v>977</v>
      </c>
      <c r="P13" s="5" t="s">
        <v>706</v>
      </c>
      <c r="Q13" s="5" t="s">
        <v>978</v>
      </c>
      <c r="R13" s="5"/>
      <c r="S13" s="5"/>
      <c r="T13" s="5" t="s">
        <v>1008</v>
      </c>
      <c r="U13" s="5" t="s">
        <v>1016</v>
      </c>
      <c r="V13" s="5" t="s">
        <v>133</v>
      </c>
      <c r="W13" s="5" t="s">
        <v>492</v>
      </c>
      <c r="X13" s="5" t="s">
        <v>493</v>
      </c>
      <c r="Y13" s="5" t="s">
        <v>494</v>
      </c>
      <c r="Z13" s="5" t="s">
        <v>1001</v>
      </c>
      <c r="AA13" s="5" t="s">
        <v>1002</v>
      </c>
      <c r="AB13" s="5"/>
      <c r="AC13" s="5" t="s">
        <v>981</v>
      </c>
    </row>
    <row r="14" customFormat="false" ht="39.55" hidden="false" customHeight="false" outlineLevel="0" collapsed="false">
      <c r="A14" s="28" t="s">
        <v>1019</v>
      </c>
      <c r="B14" s="5" t="s">
        <v>1020</v>
      </c>
      <c r="C14" s="5" t="s">
        <v>643</v>
      </c>
      <c r="D14" s="5" t="s">
        <v>133</v>
      </c>
      <c r="E14" s="5" t="s">
        <v>488</v>
      </c>
      <c r="F14" s="5" t="s">
        <v>644</v>
      </c>
      <c r="G14" s="5" t="s">
        <v>645</v>
      </c>
      <c r="H14" s="5" t="s">
        <v>791</v>
      </c>
      <c r="I14" s="15" t="n">
        <v>44894</v>
      </c>
      <c r="J14" s="5" t="n">
        <v>2022</v>
      </c>
      <c r="K14" s="26" t="n">
        <v>131369.47</v>
      </c>
      <c r="L14" s="5" t="s">
        <v>166</v>
      </c>
      <c r="M14" s="5" t="s">
        <v>975</v>
      </c>
      <c r="N14" s="5" t="s">
        <v>976</v>
      </c>
      <c r="O14" s="5" t="s">
        <v>977</v>
      </c>
      <c r="P14" s="5" t="s">
        <v>706</v>
      </c>
      <c r="Q14" s="5" t="s">
        <v>978</v>
      </c>
      <c r="R14" s="5"/>
      <c r="S14" s="5" t="s">
        <v>1015</v>
      </c>
      <c r="T14" s="5" t="s">
        <v>1008</v>
      </c>
      <c r="U14" s="5" t="s">
        <v>1016</v>
      </c>
      <c r="V14" s="5" t="s">
        <v>133</v>
      </c>
      <c r="W14" s="5" t="s">
        <v>492</v>
      </c>
      <c r="X14" s="5" t="s">
        <v>493</v>
      </c>
      <c r="Y14" s="5" t="s">
        <v>494</v>
      </c>
      <c r="Z14" s="5" t="s">
        <v>1001</v>
      </c>
      <c r="AA14" s="5" t="s">
        <v>1002</v>
      </c>
      <c r="AB14" s="5"/>
      <c r="AC14" s="5" t="s">
        <v>981</v>
      </c>
    </row>
    <row r="15" customFormat="false" ht="39.55" hidden="false" customHeight="false" outlineLevel="0" collapsed="false">
      <c r="A15" s="28" t="s">
        <v>1021</v>
      </c>
      <c r="B15" s="5" t="s">
        <v>1022</v>
      </c>
      <c r="C15" s="5" t="s">
        <v>643</v>
      </c>
      <c r="D15" s="5" t="s">
        <v>133</v>
      </c>
      <c r="E15" s="5" t="s">
        <v>488</v>
      </c>
      <c r="F15" s="5" t="s">
        <v>644</v>
      </c>
      <c r="G15" s="5" t="s">
        <v>645</v>
      </c>
      <c r="H15" s="5" t="s">
        <v>791</v>
      </c>
      <c r="I15" s="15" t="n">
        <v>44945</v>
      </c>
      <c r="J15" s="5" t="n">
        <v>2023</v>
      </c>
      <c r="K15" s="26" t="n">
        <v>85272.27</v>
      </c>
      <c r="L15" s="5" t="s">
        <v>166</v>
      </c>
      <c r="M15" s="5" t="s">
        <v>975</v>
      </c>
      <c r="N15" s="5" t="s">
        <v>976</v>
      </c>
      <c r="O15" s="5" t="s">
        <v>1014</v>
      </c>
      <c r="P15" s="5" t="s">
        <v>704</v>
      </c>
      <c r="Q15" s="5" t="s">
        <v>978</v>
      </c>
      <c r="R15" s="5"/>
      <c r="S15" s="5" t="s">
        <v>1007</v>
      </c>
      <c r="T15" s="5" t="s">
        <v>1008</v>
      </c>
      <c r="U15" s="5" t="s">
        <v>491</v>
      </c>
      <c r="V15" s="5" t="s">
        <v>133</v>
      </c>
      <c r="W15" s="5" t="s">
        <v>492</v>
      </c>
      <c r="X15" s="5" t="s">
        <v>493</v>
      </c>
      <c r="Y15" s="5" t="s">
        <v>494</v>
      </c>
      <c r="Z15" s="5" t="s">
        <v>1001</v>
      </c>
      <c r="AA15" s="5" t="s">
        <v>1002</v>
      </c>
      <c r="AB15" s="5"/>
      <c r="AC15" s="5" t="s">
        <v>981</v>
      </c>
    </row>
    <row r="16" customFormat="false" ht="39.55" hidden="false" customHeight="false" outlineLevel="0" collapsed="false">
      <c r="A16" s="28" t="s">
        <v>1023</v>
      </c>
      <c r="B16" s="5" t="s">
        <v>1024</v>
      </c>
      <c r="C16" s="5" t="s">
        <v>527</v>
      </c>
      <c r="D16" s="5" t="s">
        <v>133</v>
      </c>
      <c r="E16" s="5" t="s">
        <v>236</v>
      </c>
      <c r="F16" s="5" t="s">
        <v>528</v>
      </c>
      <c r="G16" s="5" t="s">
        <v>236</v>
      </c>
      <c r="H16" s="5" t="s">
        <v>752</v>
      </c>
      <c r="I16" s="15" t="n">
        <v>43497</v>
      </c>
      <c r="J16" s="5" t="n">
        <v>2019</v>
      </c>
      <c r="K16" s="26" t="n">
        <v>78838.97</v>
      </c>
      <c r="L16" s="5" t="s">
        <v>166</v>
      </c>
      <c r="M16" s="5" t="s">
        <v>994</v>
      </c>
      <c r="N16" s="5" t="s">
        <v>983</v>
      </c>
      <c r="O16" s="5" t="s">
        <v>984</v>
      </c>
      <c r="P16" s="5" t="s">
        <v>703</v>
      </c>
      <c r="Q16" s="5" t="s">
        <v>978</v>
      </c>
      <c r="R16" s="5" t="s">
        <v>1025</v>
      </c>
      <c r="S16" s="5" t="s">
        <v>1026</v>
      </c>
      <c r="T16" s="5" t="s">
        <v>1027</v>
      </c>
      <c r="U16" s="5" t="s">
        <v>516</v>
      </c>
      <c r="V16" s="5" t="s">
        <v>166</v>
      </c>
      <c r="W16" s="5" t="s">
        <v>492</v>
      </c>
      <c r="X16" s="5" t="s">
        <v>987</v>
      </c>
      <c r="Y16" s="5" t="s">
        <v>494</v>
      </c>
      <c r="Z16" s="5" t="s">
        <v>1001</v>
      </c>
      <c r="AA16" s="5" t="s">
        <v>1002</v>
      </c>
      <c r="AB16" s="5"/>
      <c r="AC16" s="5" t="s">
        <v>989</v>
      </c>
    </row>
    <row r="17" customFormat="false" ht="39.55" hidden="false" customHeight="false" outlineLevel="0" collapsed="false">
      <c r="A17" s="28" t="s">
        <v>1028</v>
      </c>
      <c r="B17" s="5" t="s">
        <v>1029</v>
      </c>
      <c r="C17" s="5" t="s">
        <v>527</v>
      </c>
      <c r="D17" s="5" t="s">
        <v>133</v>
      </c>
      <c r="E17" s="5" t="s">
        <v>236</v>
      </c>
      <c r="F17" s="5" t="s">
        <v>528</v>
      </c>
      <c r="G17" s="5" t="s">
        <v>236</v>
      </c>
      <c r="H17" s="5" t="s">
        <v>752</v>
      </c>
      <c r="I17" s="15" t="n">
        <v>44553</v>
      </c>
      <c r="J17" s="5" t="n">
        <v>2021</v>
      </c>
      <c r="K17" s="26" t="n">
        <v>87579.71</v>
      </c>
      <c r="L17" s="5" t="s">
        <v>166</v>
      </c>
      <c r="M17" s="5" t="s">
        <v>975</v>
      </c>
      <c r="N17" s="5" t="s">
        <v>983</v>
      </c>
      <c r="O17" s="5" t="s">
        <v>984</v>
      </c>
      <c r="P17" s="5" t="s">
        <v>703</v>
      </c>
      <c r="Q17" s="5" t="s">
        <v>978</v>
      </c>
      <c r="R17" s="5"/>
      <c r="S17" s="5" t="s">
        <v>1026</v>
      </c>
      <c r="T17" s="5" t="s">
        <v>1027</v>
      </c>
      <c r="U17" s="5" t="s">
        <v>516</v>
      </c>
      <c r="V17" s="5" t="s">
        <v>166</v>
      </c>
      <c r="W17" s="5" t="s">
        <v>492</v>
      </c>
      <c r="X17" s="5" t="s">
        <v>493</v>
      </c>
      <c r="Y17" s="5" t="s">
        <v>494</v>
      </c>
      <c r="Z17" s="5" t="s">
        <v>1001</v>
      </c>
      <c r="AA17" s="5" t="s">
        <v>1002</v>
      </c>
      <c r="AB17" s="5"/>
      <c r="AC17" s="5" t="s">
        <v>989</v>
      </c>
    </row>
    <row r="18" customFormat="false" ht="39.55" hidden="false" customHeight="false" outlineLevel="0" collapsed="false">
      <c r="A18" s="28" t="s">
        <v>730</v>
      </c>
      <c r="B18" s="5" t="s">
        <v>1030</v>
      </c>
      <c r="C18" s="5" t="s">
        <v>527</v>
      </c>
      <c r="D18" s="5" t="s">
        <v>133</v>
      </c>
      <c r="E18" s="5" t="s">
        <v>236</v>
      </c>
      <c r="F18" s="5" t="s">
        <v>528</v>
      </c>
      <c r="G18" s="5" t="s">
        <v>236</v>
      </c>
      <c r="H18" s="5" t="s">
        <v>752</v>
      </c>
      <c r="I18" s="15" t="n">
        <v>45015</v>
      </c>
      <c r="J18" s="5" t="n">
        <v>2023</v>
      </c>
      <c r="K18" s="26" t="n">
        <v>538004.45</v>
      </c>
      <c r="L18" s="5" t="s">
        <v>166</v>
      </c>
      <c r="M18" s="5" t="s">
        <v>975</v>
      </c>
      <c r="N18" s="5" t="s">
        <v>983</v>
      </c>
      <c r="O18" s="5" t="s">
        <v>984</v>
      </c>
      <c r="P18" s="5" t="s">
        <v>703</v>
      </c>
      <c r="Q18" s="5" t="s">
        <v>978</v>
      </c>
      <c r="R18" s="5"/>
      <c r="S18" s="5" t="s">
        <v>1031</v>
      </c>
      <c r="T18" s="5" t="s">
        <v>1027</v>
      </c>
      <c r="U18" s="5" t="s">
        <v>516</v>
      </c>
      <c r="V18" s="5" t="s">
        <v>166</v>
      </c>
      <c r="W18" s="5" t="s">
        <v>492</v>
      </c>
      <c r="X18" s="5" t="s">
        <v>493</v>
      </c>
      <c r="Y18" s="5" t="s">
        <v>494</v>
      </c>
      <c r="Z18" s="5" t="s">
        <v>1001</v>
      </c>
      <c r="AA18" s="5" t="s">
        <v>1002</v>
      </c>
      <c r="AB18" s="5"/>
      <c r="AC18" s="5" t="s">
        <v>989</v>
      </c>
    </row>
    <row r="19" customFormat="false" ht="39.55" hidden="false" customHeight="false" outlineLevel="0" collapsed="false">
      <c r="A19" s="28" t="s">
        <v>1032</v>
      </c>
      <c r="B19" s="5" t="s">
        <v>1033</v>
      </c>
      <c r="C19" s="5" t="s">
        <v>536</v>
      </c>
      <c r="D19" s="5" t="s">
        <v>133</v>
      </c>
      <c r="E19" s="5" t="s">
        <v>503</v>
      </c>
      <c r="F19" s="5" t="s">
        <v>126</v>
      </c>
      <c r="G19" s="5" t="s">
        <v>127</v>
      </c>
      <c r="H19" s="5" t="s">
        <v>752</v>
      </c>
      <c r="I19" s="15" t="n">
        <v>43584</v>
      </c>
      <c r="J19" s="5" t="n">
        <v>2019</v>
      </c>
      <c r="K19" s="26" t="n">
        <v>139127.64</v>
      </c>
      <c r="L19" s="5" t="s">
        <v>166</v>
      </c>
      <c r="M19" s="5" t="s">
        <v>994</v>
      </c>
      <c r="N19" s="5" t="s">
        <v>983</v>
      </c>
      <c r="O19" s="5" t="s">
        <v>1034</v>
      </c>
      <c r="P19" s="5" t="s">
        <v>707</v>
      </c>
      <c r="Q19" s="5" t="s">
        <v>1035</v>
      </c>
      <c r="R19" s="5"/>
      <c r="S19" s="5" t="s">
        <v>985</v>
      </c>
      <c r="T19" s="5" t="s">
        <v>986</v>
      </c>
      <c r="U19" s="5" t="s">
        <v>505</v>
      </c>
      <c r="V19" s="5" t="s">
        <v>166</v>
      </c>
      <c r="W19" s="5" t="s">
        <v>492</v>
      </c>
      <c r="X19" s="5" t="s">
        <v>987</v>
      </c>
      <c r="Y19" s="5" t="s">
        <v>494</v>
      </c>
      <c r="Z19" s="5" t="s">
        <v>1001</v>
      </c>
      <c r="AA19" s="5" t="s">
        <v>1002</v>
      </c>
      <c r="AB19" s="5"/>
      <c r="AC19" s="5" t="s">
        <v>989</v>
      </c>
    </row>
    <row r="20" customFormat="false" ht="26.85" hidden="false" customHeight="false" outlineLevel="0" collapsed="false">
      <c r="A20" s="28" t="s">
        <v>756</v>
      </c>
      <c r="B20" s="5" t="s">
        <v>757</v>
      </c>
      <c r="C20" s="5" t="s">
        <v>536</v>
      </c>
      <c r="D20" s="5" t="s">
        <v>133</v>
      </c>
      <c r="E20" s="5" t="s">
        <v>503</v>
      </c>
      <c r="F20" s="5" t="s">
        <v>126</v>
      </c>
      <c r="G20" s="5" t="s">
        <v>127</v>
      </c>
      <c r="H20" s="5" t="s">
        <v>752</v>
      </c>
      <c r="I20" s="15" t="n">
        <v>43643</v>
      </c>
      <c r="J20" s="5" t="n">
        <v>2019</v>
      </c>
      <c r="K20" s="26" t="n">
        <v>463759.04</v>
      </c>
      <c r="L20" s="5" t="s">
        <v>166</v>
      </c>
      <c r="M20" s="5" t="s">
        <v>990</v>
      </c>
      <c r="N20" s="5" t="s">
        <v>983</v>
      </c>
      <c r="O20" s="5" t="s">
        <v>984</v>
      </c>
      <c r="P20" s="5" t="s">
        <v>703</v>
      </c>
      <c r="Q20" s="5" t="s">
        <v>978</v>
      </c>
      <c r="R20" s="5"/>
      <c r="S20" s="5" t="s">
        <v>985</v>
      </c>
      <c r="T20" s="5" t="s">
        <v>986</v>
      </c>
      <c r="U20" s="5" t="s">
        <v>505</v>
      </c>
      <c r="V20" s="5" t="s">
        <v>166</v>
      </c>
      <c r="W20" s="5" t="s">
        <v>492</v>
      </c>
      <c r="X20" s="5" t="s">
        <v>1036</v>
      </c>
      <c r="Y20" s="5" t="s">
        <v>1036</v>
      </c>
      <c r="Z20" s="5" t="s">
        <v>753</v>
      </c>
      <c r="AA20" s="5" t="s">
        <v>754</v>
      </c>
      <c r="AB20" s="5"/>
      <c r="AC20" s="5" t="s">
        <v>989</v>
      </c>
    </row>
    <row r="21" customFormat="false" ht="26.85" hidden="false" customHeight="false" outlineLevel="0" collapsed="false">
      <c r="A21" s="28" t="s">
        <v>758</v>
      </c>
      <c r="B21" s="5" t="s">
        <v>759</v>
      </c>
      <c r="C21" s="5" t="s">
        <v>536</v>
      </c>
      <c r="D21" s="5" t="s">
        <v>133</v>
      </c>
      <c r="E21" s="5" t="s">
        <v>503</v>
      </c>
      <c r="F21" s="5" t="s">
        <v>126</v>
      </c>
      <c r="G21" s="5" t="s">
        <v>127</v>
      </c>
      <c r="H21" s="5" t="s">
        <v>752</v>
      </c>
      <c r="I21" s="15" t="n">
        <v>43701</v>
      </c>
      <c r="J21" s="5" t="n">
        <v>2019</v>
      </c>
      <c r="K21" s="26" t="n">
        <v>278255.46</v>
      </c>
      <c r="L21" s="5" t="s">
        <v>166</v>
      </c>
      <c r="M21" s="5" t="s">
        <v>990</v>
      </c>
      <c r="N21" s="5" t="s">
        <v>983</v>
      </c>
      <c r="O21" s="5" t="s">
        <v>984</v>
      </c>
      <c r="P21" s="5" t="s">
        <v>703</v>
      </c>
      <c r="Q21" s="5" t="s">
        <v>978</v>
      </c>
      <c r="R21" s="5"/>
      <c r="S21" s="5" t="s">
        <v>985</v>
      </c>
      <c r="T21" s="5" t="s">
        <v>986</v>
      </c>
      <c r="U21" s="5" t="s">
        <v>506</v>
      </c>
      <c r="V21" s="5" t="s">
        <v>133</v>
      </c>
      <c r="W21" s="5" t="s">
        <v>492</v>
      </c>
      <c r="X21" s="5" t="s">
        <v>987</v>
      </c>
      <c r="Y21" s="5" t="s">
        <v>494</v>
      </c>
      <c r="Z21" s="5" t="s">
        <v>753</v>
      </c>
      <c r="AA21" s="5" t="s">
        <v>754</v>
      </c>
      <c r="AB21" s="5"/>
      <c r="AC21" s="5" t="s">
        <v>989</v>
      </c>
    </row>
    <row r="22" customFormat="false" ht="39.55" hidden="false" customHeight="false" outlineLevel="0" collapsed="false">
      <c r="A22" s="28" t="s">
        <v>1037</v>
      </c>
      <c r="B22" s="5" t="s">
        <v>1038</v>
      </c>
      <c r="C22" s="5" t="s">
        <v>134</v>
      </c>
      <c r="D22" s="5" t="s">
        <v>133</v>
      </c>
      <c r="E22" s="5" t="s">
        <v>503</v>
      </c>
      <c r="F22" s="5" t="s">
        <v>126</v>
      </c>
      <c r="G22" s="5" t="s">
        <v>127</v>
      </c>
      <c r="H22" s="5" t="s">
        <v>752</v>
      </c>
      <c r="I22" s="15" t="n">
        <v>43946</v>
      </c>
      <c r="J22" s="5" t="n">
        <v>2020</v>
      </c>
      <c r="K22" s="26" t="n">
        <v>185503.58</v>
      </c>
      <c r="L22" s="5" t="s">
        <v>166</v>
      </c>
      <c r="M22" s="5" t="s">
        <v>975</v>
      </c>
      <c r="N22" s="5" t="s">
        <v>983</v>
      </c>
      <c r="O22" s="5" t="s">
        <v>984</v>
      </c>
      <c r="P22" s="5" t="s">
        <v>703</v>
      </c>
      <c r="Q22" s="5" t="s">
        <v>978</v>
      </c>
      <c r="R22" s="5"/>
      <c r="S22" s="5" t="s">
        <v>1039</v>
      </c>
      <c r="T22" s="5" t="s">
        <v>986</v>
      </c>
      <c r="U22" s="5" t="s">
        <v>505</v>
      </c>
      <c r="V22" s="5" t="s">
        <v>166</v>
      </c>
      <c r="W22" s="5" t="s">
        <v>492</v>
      </c>
      <c r="X22" s="5" t="s">
        <v>987</v>
      </c>
      <c r="Y22" s="5" t="s">
        <v>494</v>
      </c>
      <c r="Z22" s="5" t="s">
        <v>1001</v>
      </c>
      <c r="AA22" s="5" t="s">
        <v>1002</v>
      </c>
      <c r="AB22" s="5"/>
      <c r="AC22" s="5" t="s">
        <v>989</v>
      </c>
    </row>
    <row r="23" customFormat="false" ht="26.85" hidden="false" customHeight="false" outlineLevel="0" collapsed="false">
      <c r="A23" s="28" t="s">
        <v>792</v>
      </c>
      <c r="B23" s="5" t="s">
        <v>793</v>
      </c>
      <c r="C23" s="5" t="s">
        <v>569</v>
      </c>
      <c r="D23" s="5" t="s">
        <v>133</v>
      </c>
      <c r="E23" s="5" t="s">
        <v>570</v>
      </c>
      <c r="F23" s="5" t="s">
        <v>199</v>
      </c>
      <c r="G23" s="5" t="s">
        <v>200</v>
      </c>
      <c r="H23" s="5" t="s">
        <v>791</v>
      </c>
      <c r="I23" s="15" t="n">
        <v>44529</v>
      </c>
      <c r="J23" s="5" t="n">
        <v>2021</v>
      </c>
      <c r="K23" s="26" t="n">
        <v>140127.5</v>
      </c>
      <c r="L23" s="5" t="s">
        <v>166</v>
      </c>
      <c r="M23" s="5" t="s">
        <v>975</v>
      </c>
      <c r="N23" s="5" t="s">
        <v>983</v>
      </c>
      <c r="O23" s="5" t="s">
        <v>1040</v>
      </c>
      <c r="P23" s="5" t="s">
        <v>707</v>
      </c>
      <c r="Q23" s="5" t="s">
        <v>992</v>
      </c>
      <c r="R23" s="5"/>
      <c r="S23" s="5" t="s">
        <v>979</v>
      </c>
      <c r="T23" s="5" t="s">
        <v>980</v>
      </c>
      <c r="U23" s="5" t="s">
        <v>572</v>
      </c>
      <c r="V23" s="5" t="s">
        <v>166</v>
      </c>
      <c r="W23" s="5" t="s">
        <v>573</v>
      </c>
      <c r="X23" s="5" t="s">
        <v>493</v>
      </c>
      <c r="Y23" s="5" t="s">
        <v>494</v>
      </c>
      <c r="Z23" s="5" t="s">
        <v>764</v>
      </c>
      <c r="AA23" s="5" t="s">
        <v>771</v>
      </c>
      <c r="AB23" s="5"/>
      <c r="AC23" s="5" t="s">
        <v>989</v>
      </c>
    </row>
    <row r="24" customFormat="false" ht="26.85" hidden="false" customHeight="false" outlineLevel="0" collapsed="false">
      <c r="A24" s="28" t="s">
        <v>769</v>
      </c>
      <c r="B24" s="5" t="s">
        <v>770</v>
      </c>
      <c r="C24" s="5" t="s">
        <v>569</v>
      </c>
      <c r="D24" s="5" t="s">
        <v>133</v>
      </c>
      <c r="E24" s="5" t="s">
        <v>570</v>
      </c>
      <c r="F24" s="5" t="s">
        <v>199</v>
      </c>
      <c r="G24" s="5" t="s">
        <v>200</v>
      </c>
      <c r="H24" s="5" t="s">
        <v>752</v>
      </c>
      <c r="I24" s="15" t="n">
        <v>44855</v>
      </c>
      <c r="J24" s="5" t="n">
        <v>2022</v>
      </c>
      <c r="K24" s="26" t="n">
        <v>656847.54</v>
      </c>
      <c r="L24" s="5" t="s">
        <v>166</v>
      </c>
      <c r="M24" s="5" t="s">
        <v>975</v>
      </c>
      <c r="N24" s="5" t="s">
        <v>983</v>
      </c>
      <c r="O24" s="5" t="s">
        <v>984</v>
      </c>
      <c r="P24" s="5" t="s">
        <v>703</v>
      </c>
      <c r="Q24" s="5" t="s">
        <v>992</v>
      </c>
      <c r="R24" s="5"/>
      <c r="S24" s="5" t="s">
        <v>979</v>
      </c>
      <c r="T24" s="5" t="s">
        <v>980</v>
      </c>
      <c r="U24" s="5" t="s">
        <v>572</v>
      </c>
      <c r="V24" s="5" t="s">
        <v>166</v>
      </c>
      <c r="W24" s="5" t="s">
        <v>573</v>
      </c>
      <c r="X24" s="5" t="s">
        <v>493</v>
      </c>
      <c r="Y24" s="5" t="s">
        <v>494</v>
      </c>
      <c r="Z24" s="5" t="s">
        <v>764</v>
      </c>
      <c r="AA24" s="5" t="s">
        <v>771</v>
      </c>
      <c r="AB24" s="5"/>
      <c r="AC24" s="5" t="s">
        <v>989</v>
      </c>
    </row>
    <row r="25" customFormat="false" ht="26.85" hidden="false" customHeight="false" outlineLevel="0" collapsed="false">
      <c r="A25" s="28" t="s">
        <v>773</v>
      </c>
      <c r="B25" s="5" t="s">
        <v>774</v>
      </c>
      <c r="C25" s="5" t="s">
        <v>569</v>
      </c>
      <c r="D25" s="5" t="s">
        <v>133</v>
      </c>
      <c r="E25" s="5" t="s">
        <v>570</v>
      </c>
      <c r="F25" s="5" t="s">
        <v>199</v>
      </c>
      <c r="G25" s="5" t="s">
        <v>200</v>
      </c>
      <c r="H25" s="5" t="s">
        <v>752</v>
      </c>
      <c r="I25" s="15" t="n">
        <v>45099</v>
      </c>
      <c r="J25" s="5" t="n">
        <v>2023</v>
      </c>
      <c r="K25" s="26" t="n">
        <v>511104.27</v>
      </c>
      <c r="L25" s="5" t="s">
        <v>166</v>
      </c>
      <c r="M25" s="5" t="s">
        <v>1041</v>
      </c>
      <c r="N25" s="5" t="s">
        <v>976</v>
      </c>
      <c r="O25" s="5" t="s">
        <v>977</v>
      </c>
      <c r="P25" s="5" t="s">
        <v>706</v>
      </c>
      <c r="Q25" s="5" t="s">
        <v>992</v>
      </c>
      <c r="R25" s="5"/>
      <c r="S25" s="5" t="s">
        <v>979</v>
      </c>
      <c r="T25" s="5" t="s">
        <v>980</v>
      </c>
      <c r="U25" s="5" t="s">
        <v>572</v>
      </c>
      <c r="V25" s="5" t="s">
        <v>166</v>
      </c>
      <c r="W25" s="5" t="s">
        <v>573</v>
      </c>
      <c r="X25" s="5" t="s">
        <v>493</v>
      </c>
      <c r="Y25" s="5" t="s">
        <v>494</v>
      </c>
      <c r="Z25" s="5" t="s">
        <v>764</v>
      </c>
      <c r="AA25" s="5" t="s">
        <v>771</v>
      </c>
      <c r="AB25" s="5"/>
      <c r="AC25" s="5" t="s">
        <v>993</v>
      </c>
    </row>
    <row r="26" customFormat="false" ht="26.85" hidden="false" customHeight="false" outlineLevel="0" collapsed="false">
      <c r="A26" s="28" t="s">
        <v>779</v>
      </c>
      <c r="B26" s="5" t="s">
        <v>780</v>
      </c>
      <c r="C26" s="5" t="s">
        <v>569</v>
      </c>
      <c r="D26" s="5" t="s">
        <v>133</v>
      </c>
      <c r="E26" s="5" t="s">
        <v>570</v>
      </c>
      <c r="F26" s="5" t="s">
        <v>199</v>
      </c>
      <c r="G26" s="5" t="s">
        <v>200</v>
      </c>
      <c r="H26" s="5" t="s">
        <v>752</v>
      </c>
      <c r="I26" s="15" t="n">
        <v>45240</v>
      </c>
      <c r="J26" s="5" t="n">
        <v>2023</v>
      </c>
      <c r="K26" s="26" t="n">
        <v>448337.01</v>
      </c>
      <c r="L26" s="5" t="s">
        <v>166</v>
      </c>
      <c r="M26" s="5" t="s">
        <v>1041</v>
      </c>
      <c r="N26" s="5" t="s">
        <v>976</v>
      </c>
      <c r="O26" s="5" t="s">
        <v>1042</v>
      </c>
      <c r="P26" s="5" t="s">
        <v>705</v>
      </c>
      <c r="Q26" s="5" t="s">
        <v>992</v>
      </c>
      <c r="R26" s="5"/>
      <c r="S26" s="5" t="s">
        <v>979</v>
      </c>
      <c r="T26" s="5" t="s">
        <v>980</v>
      </c>
      <c r="U26" s="5" t="s">
        <v>572</v>
      </c>
      <c r="V26" s="5" t="s">
        <v>166</v>
      </c>
      <c r="W26" s="5" t="s">
        <v>573</v>
      </c>
      <c r="X26" s="5" t="s">
        <v>493</v>
      </c>
      <c r="Y26" s="5" t="s">
        <v>494</v>
      </c>
      <c r="Z26" s="5" t="s">
        <v>764</v>
      </c>
      <c r="AA26" s="5" t="s">
        <v>771</v>
      </c>
      <c r="AB26" s="5"/>
      <c r="AC26" s="5" t="s">
        <v>993</v>
      </c>
    </row>
    <row r="27" customFormat="false" ht="26.85" hidden="false" customHeight="false" outlineLevel="0" collapsed="false">
      <c r="A27" s="28" t="s">
        <v>781</v>
      </c>
      <c r="B27" s="5" t="s">
        <v>782</v>
      </c>
      <c r="C27" s="5" t="s">
        <v>569</v>
      </c>
      <c r="D27" s="5" t="s">
        <v>133</v>
      </c>
      <c r="E27" s="5" t="s">
        <v>570</v>
      </c>
      <c r="F27" s="5" t="s">
        <v>199</v>
      </c>
      <c r="G27" s="5" t="s">
        <v>200</v>
      </c>
      <c r="H27" s="5" t="s">
        <v>752</v>
      </c>
      <c r="I27" s="15" t="n">
        <v>45320</v>
      </c>
      <c r="J27" s="5" t="n">
        <v>2024</v>
      </c>
      <c r="K27" s="26" t="n">
        <v>876912.89</v>
      </c>
      <c r="L27" s="5" t="s">
        <v>166</v>
      </c>
      <c r="M27" s="5" t="s">
        <v>1041</v>
      </c>
      <c r="N27" s="5" t="s">
        <v>983</v>
      </c>
      <c r="O27" s="5" t="s">
        <v>1042</v>
      </c>
      <c r="P27" s="5" t="s">
        <v>705</v>
      </c>
      <c r="Q27" s="5" t="s">
        <v>992</v>
      </c>
      <c r="R27" s="5"/>
      <c r="S27" s="5" t="s">
        <v>979</v>
      </c>
      <c r="T27" s="5" t="s">
        <v>980</v>
      </c>
      <c r="U27" s="5" t="s">
        <v>572</v>
      </c>
      <c r="V27" s="5" t="s">
        <v>166</v>
      </c>
      <c r="W27" s="5" t="s">
        <v>573</v>
      </c>
      <c r="X27" s="5" t="s">
        <v>493</v>
      </c>
      <c r="Y27" s="5" t="s">
        <v>494</v>
      </c>
      <c r="Z27" s="5" t="s">
        <v>764</v>
      </c>
      <c r="AA27" s="5" t="s">
        <v>771</v>
      </c>
      <c r="AB27" s="5"/>
      <c r="AC27" s="5" t="s">
        <v>989</v>
      </c>
    </row>
    <row r="28" customFormat="false" ht="26.85" hidden="false" customHeight="false" outlineLevel="0" collapsed="false">
      <c r="A28" s="28" t="s">
        <v>798</v>
      </c>
      <c r="B28" s="5" t="s">
        <v>799</v>
      </c>
      <c r="C28" s="5" t="s">
        <v>569</v>
      </c>
      <c r="D28" s="5" t="s">
        <v>133</v>
      </c>
      <c r="E28" s="5" t="s">
        <v>570</v>
      </c>
      <c r="F28" s="5" t="s">
        <v>199</v>
      </c>
      <c r="G28" s="5" t="s">
        <v>200</v>
      </c>
      <c r="H28" s="5" t="s">
        <v>791</v>
      </c>
      <c r="I28" s="15" t="n">
        <v>45496</v>
      </c>
      <c r="J28" s="5" t="n">
        <v>2024</v>
      </c>
      <c r="K28" s="26" t="n">
        <v>264105.56</v>
      </c>
      <c r="L28" s="5" t="s">
        <v>166</v>
      </c>
      <c r="M28" s="5" t="s">
        <v>1043</v>
      </c>
      <c r="N28" s="5" t="s">
        <v>983</v>
      </c>
      <c r="O28" s="5" t="s">
        <v>977</v>
      </c>
      <c r="P28" s="5" t="s">
        <v>706</v>
      </c>
      <c r="Q28" s="5" t="s">
        <v>992</v>
      </c>
      <c r="R28" s="5"/>
      <c r="S28" s="5" t="s">
        <v>979</v>
      </c>
      <c r="T28" s="5" t="s">
        <v>980</v>
      </c>
      <c r="U28" s="5" t="s">
        <v>572</v>
      </c>
      <c r="V28" s="5" t="s">
        <v>166</v>
      </c>
      <c r="W28" s="5" t="s">
        <v>573</v>
      </c>
      <c r="X28" s="5" t="s">
        <v>493</v>
      </c>
      <c r="Y28" s="5" t="s">
        <v>494</v>
      </c>
      <c r="Z28" s="5" t="s">
        <v>764</v>
      </c>
      <c r="AA28" s="5" t="s">
        <v>771</v>
      </c>
      <c r="AB28" s="5"/>
      <c r="AC28" s="5" t="s">
        <v>989</v>
      </c>
    </row>
    <row r="29" customFormat="false" ht="26.85" hidden="false" customHeight="false" outlineLevel="0" collapsed="false">
      <c r="A29" s="28" t="s">
        <v>783</v>
      </c>
      <c r="B29" s="5" t="s">
        <v>784</v>
      </c>
      <c r="C29" s="5" t="s">
        <v>569</v>
      </c>
      <c r="D29" s="5" t="s">
        <v>133</v>
      </c>
      <c r="E29" s="5" t="s">
        <v>570</v>
      </c>
      <c r="F29" s="5" t="s">
        <v>199</v>
      </c>
      <c r="G29" s="5" t="s">
        <v>200</v>
      </c>
      <c r="H29" s="5" t="s">
        <v>752</v>
      </c>
      <c r="I29" s="15" t="n">
        <v>45520</v>
      </c>
      <c r="J29" s="5" t="n">
        <v>2024</v>
      </c>
      <c r="K29" s="26" t="n">
        <v>361081.8</v>
      </c>
      <c r="L29" s="5" t="s">
        <v>166</v>
      </c>
      <c r="M29" s="5" t="s">
        <v>975</v>
      </c>
      <c r="N29" s="5" t="s">
        <v>983</v>
      </c>
      <c r="O29" s="5" t="s">
        <v>977</v>
      </c>
      <c r="P29" s="5" t="s">
        <v>706</v>
      </c>
      <c r="Q29" s="5" t="s">
        <v>978</v>
      </c>
      <c r="R29" s="5"/>
      <c r="S29" s="5" t="s">
        <v>979</v>
      </c>
      <c r="T29" s="5" t="s">
        <v>980</v>
      </c>
      <c r="U29" s="5" t="s">
        <v>572</v>
      </c>
      <c r="V29" s="5" t="s">
        <v>166</v>
      </c>
      <c r="W29" s="5" t="s">
        <v>573</v>
      </c>
      <c r="X29" s="5" t="s">
        <v>493</v>
      </c>
      <c r="Y29" s="5" t="s">
        <v>494</v>
      </c>
      <c r="Z29" s="5" t="s">
        <v>764</v>
      </c>
      <c r="AA29" s="5" t="s">
        <v>771</v>
      </c>
      <c r="AB29" s="5"/>
      <c r="AC29" s="5" t="s">
        <v>989</v>
      </c>
    </row>
    <row r="30" customFormat="false" ht="39.55" hidden="false" customHeight="false" outlineLevel="0" collapsed="false">
      <c r="A30" s="28" t="s">
        <v>1044</v>
      </c>
      <c r="B30" s="5" t="s">
        <v>1045</v>
      </c>
      <c r="C30" s="5" t="s">
        <v>558</v>
      </c>
      <c r="D30" s="5" t="s">
        <v>133</v>
      </c>
      <c r="E30" s="5" t="s">
        <v>559</v>
      </c>
      <c r="F30" s="5" t="s">
        <v>407</v>
      </c>
      <c r="G30" s="5" t="s">
        <v>408</v>
      </c>
      <c r="H30" s="5" t="s">
        <v>791</v>
      </c>
      <c r="I30" s="15" t="n">
        <v>45317</v>
      </c>
      <c r="J30" s="5" t="n">
        <v>2024</v>
      </c>
      <c r="K30" s="26" t="n">
        <v>206332.51</v>
      </c>
      <c r="L30" s="5" t="s">
        <v>166</v>
      </c>
      <c r="M30" s="5" t="s">
        <v>975</v>
      </c>
      <c r="N30" s="5" t="s">
        <v>983</v>
      </c>
      <c r="O30" s="5" t="s">
        <v>1014</v>
      </c>
      <c r="P30" s="5" t="s">
        <v>704</v>
      </c>
      <c r="Q30" s="5" t="s">
        <v>992</v>
      </c>
      <c r="R30" s="5"/>
      <c r="S30" s="5" t="s">
        <v>1046</v>
      </c>
      <c r="T30" s="5" t="s">
        <v>1047</v>
      </c>
      <c r="U30" s="5" t="s">
        <v>1048</v>
      </c>
      <c r="V30" s="5" t="s">
        <v>133</v>
      </c>
      <c r="W30" s="5" t="s">
        <v>492</v>
      </c>
      <c r="X30" s="5" t="s">
        <v>493</v>
      </c>
      <c r="Y30" s="5" t="s">
        <v>494</v>
      </c>
      <c r="Z30" s="5" t="s">
        <v>1001</v>
      </c>
      <c r="AA30" s="5" t="s">
        <v>1002</v>
      </c>
      <c r="AB30" s="5"/>
      <c r="AC30" s="5" t="s">
        <v>989</v>
      </c>
    </row>
    <row r="31" customFormat="false" ht="39.55" hidden="false" customHeight="false" outlineLevel="0" collapsed="false">
      <c r="A31" s="28" t="s">
        <v>805</v>
      </c>
      <c r="B31" s="5" t="s">
        <v>806</v>
      </c>
      <c r="C31" s="5" t="s">
        <v>558</v>
      </c>
      <c r="D31" s="5" t="s">
        <v>133</v>
      </c>
      <c r="E31" s="5" t="s">
        <v>559</v>
      </c>
      <c r="F31" s="5" t="s">
        <v>407</v>
      </c>
      <c r="G31" s="5" t="s">
        <v>408</v>
      </c>
      <c r="H31" s="5" t="s">
        <v>804</v>
      </c>
      <c r="I31" s="15" t="n">
        <v>46317</v>
      </c>
      <c r="J31" s="5" t="n">
        <v>2026</v>
      </c>
      <c r="K31" s="26" t="n">
        <v>149999.94</v>
      </c>
      <c r="L31" s="5" t="s">
        <v>166</v>
      </c>
      <c r="M31" s="5" t="s">
        <v>975</v>
      </c>
      <c r="N31" s="5" t="s">
        <v>983</v>
      </c>
      <c r="O31" s="5" t="s">
        <v>1014</v>
      </c>
      <c r="P31" s="5" t="s">
        <v>704</v>
      </c>
      <c r="Q31" s="5" t="s">
        <v>978</v>
      </c>
      <c r="R31" s="5"/>
      <c r="S31" s="5" t="s">
        <v>1049</v>
      </c>
      <c r="T31" s="5" t="s">
        <v>1050</v>
      </c>
      <c r="U31" s="5" t="s">
        <v>561</v>
      </c>
      <c r="V31" s="5" t="s">
        <v>166</v>
      </c>
      <c r="W31" s="5" t="s">
        <v>492</v>
      </c>
      <c r="X31" s="5" t="s">
        <v>493</v>
      </c>
      <c r="Y31" s="5" t="s">
        <v>494</v>
      </c>
      <c r="Z31" s="5" t="s">
        <v>807</v>
      </c>
      <c r="AA31" s="5"/>
      <c r="AB31" s="5" t="s">
        <v>1051</v>
      </c>
      <c r="AC31" s="5" t="s">
        <v>989</v>
      </c>
    </row>
    <row r="32" customFormat="false" ht="39.55" hidden="false" customHeight="false" outlineLevel="0" collapsed="false">
      <c r="A32" s="28" t="s">
        <v>809</v>
      </c>
      <c r="B32" s="5" t="s">
        <v>810</v>
      </c>
      <c r="C32" s="5" t="s">
        <v>632</v>
      </c>
      <c r="D32" s="5" t="s">
        <v>133</v>
      </c>
      <c r="E32" s="5" t="s">
        <v>633</v>
      </c>
      <c r="F32" s="5" t="s">
        <v>633</v>
      </c>
      <c r="G32" s="5" t="s">
        <v>633</v>
      </c>
      <c r="H32" s="5" t="s">
        <v>804</v>
      </c>
      <c r="I32" s="15" t="n">
        <v>46353</v>
      </c>
      <c r="J32" s="5" t="n">
        <v>2026</v>
      </c>
      <c r="K32" s="26" t="n">
        <v>300000.06</v>
      </c>
      <c r="L32" s="5" t="s">
        <v>166</v>
      </c>
      <c r="M32" s="5" t="s">
        <v>994</v>
      </c>
      <c r="N32" s="5" t="s">
        <v>976</v>
      </c>
      <c r="O32" s="5" t="s">
        <v>1009</v>
      </c>
      <c r="P32" s="5" t="s">
        <v>704</v>
      </c>
      <c r="Q32" s="5" t="s">
        <v>978</v>
      </c>
      <c r="R32" s="5" t="s">
        <v>1052</v>
      </c>
      <c r="S32" s="5" t="s">
        <v>1053</v>
      </c>
      <c r="T32" s="5" t="s">
        <v>980</v>
      </c>
      <c r="U32" s="5" t="s">
        <v>635</v>
      </c>
      <c r="V32" s="5" t="s">
        <v>166</v>
      </c>
      <c r="W32" s="5" t="s">
        <v>492</v>
      </c>
      <c r="X32" s="5" t="s">
        <v>493</v>
      </c>
      <c r="Y32" s="5" t="s">
        <v>494</v>
      </c>
      <c r="Z32" s="5" t="s">
        <v>807</v>
      </c>
      <c r="AA32" s="5"/>
      <c r="AB32" s="5" t="s">
        <v>1051</v>
      </c>
      <c r="AC32" s="5" t="s">
        <v>993</v>
      </c>
    </row>
    <row r="33" customFormat="false" ht="39.55" hidden="false" customHeight="false" outlineLevel="0" collapsed="false">
      <c r="A33" s="28" t="s">
        <v>811</v>
      </c>
      <c r="B33" s="5" t="s">
        <v>812</v>
      </c>
      <c r="C33" s="5" t="s">
        <v>632</v>
      </c>
      <c r="D33" s="5" t="s">
        <v>133</v>
      </c>
      <c r="E33" s="5" t="s">
        <v>633</v>
      </c>
      <c r="F33" s="5" t="s">
        <v>633</v>
      </c>
      <c r="G33" s="5" t="s">
        <v>633</v>
      </c>
      <c r="H33" s="5" t="s">
        <v>804</v>
      </c>
      <c r="I33" s="15" t="n">
        <v>46353</v>
      </c>
      <c r="J33" s="5" t="n">
        <v>2026</v>
      </c>
      <c r="K33" s="26" t="n">
        <v>199999.98</v>
      </c>
      <c r="L33" s="5" t="s">
        <v>166</v>
      </c>
      <c r="M33" s="5" t="s">
        <v>994</v>
      </c>
      <c r="N33" s="5" t="s">
        <v>976</v>
      </c>
      <c r="O33" s="5" t="s">
        <v>977</v>
      </c>
      <c r="P33" s="5" t="s">
        <v>706</v>
      </c>
      <c r="Q33" s="5" t="s">
        <v>1054</v>
      </c>
      <c r="R33" s="5" t="s">
        <v>1055</v>
      </c>
      <c r="S33" s="5" t="s">
        <v>1053</v>
      </c>
      <c r="T33" s="5" t="s">
        <v>980</v>
      </c>
      <c r="U33" s="5" t="s">
        <v>635</v>
      </c>
      <c r="V33" s="5" t="s">
        <v>166</v>
      </c>
      <c r="W33" s="5" t="s">
        <v>492</v>
      </c>
      <c r="X33" s="5" t="s">
        <v>493</v>
      </c>
      <c r="Y33" s="5" t="s">
        <v>494</v>
      </c>
      <c r="Z33" s="5" t="s">
        <v>807</v>
      </c>
      <c r="AA33" s="5"/>
      <c r="AB33" s="5" t="s">
        <v>1051</v>
      </c>
      <c r="AC33" s="5" t="s">
        <v>993</v>
      </c>
    </row>
    <row r="34" customFormat="false" ht="39.55" hidden="false" customHeight="false" outlineLevel="0" collapsed="false">
      <c r="A34" s="28" t="s">
        <v>1056</v>
      </c>
      <c r="B34" s="5" t="s">
        <v>1057</v>
      </c>
      <c r="C34" s="5" t="s">
        <v>194</v>
      </c>
      <c r="D34" s="5" t="s">
        <v>133</v>
      </c>
      <c r="E34" s="5" t="s">
        <v>514</v>
      </c>
      <c r="F34" s="5" t="s">
        <v>513</v>
      </c>
      <c r="G34" s="5" t="s">
        <v>192</v>
      </c>
      <c r="H34" s="5" t="s">
        <v>791</v>
      </c>
      <c r="I34" s="15" t="n">
        <v>43936</v>
      </c>
      <c r="J34" s="5" t="n">
        <v>2020</v>
      </c>
      <c r="K34" s="26" t="n">
        <v>0</v>
      </c>
      <c r="L34" s="5" t="s">
        <v>166</v>
      </c>
      <c r="M34" s="5" t="s">
        <v>994</v>
      </c>
      <c r="N34" s="5" t="s">
        <v>983</v>
      </c>
      <c r="O34" s="5" t="s">
        <v>984</v>
      </c>
      <c r="P34" s="5" t="s">
        <v>703</v>
      </c>
      <c r="Q34" s="5" t="s">
        <v>978</v>
      </c>
      <c r="R34" s="5"/>
      <c r="S34" s="5" t="s">
        <v>1058</v>
      </c>
      <c r="T34" s="5" t="s">
        <v>1027</v>
      </c>
      <c r="U34" s="5" t="s">
        <v>516</v>
      </c>
      <c r="V34" s="5" t="s">
        <v>166</v>
      </c>
      <c r="W34" s="5" t="s">
        <v>492</v>
      </c>
      <c r="X34" s="5" t="s">
        <v>987</v>
      </c>
      <c r="Y34" s="5" t="s">
        <v>494</v>
      </c>
      <c r="Z34" s="5" t="s">
        <v>1001</v>
      </c>
      <c r="AA34" s="5" t="s">
        <v>1002</v>
      </c>
      <c r="AB34" s="5"/>
      <c r="AC34" s="5" t="s">
        <v>989</v>
      </c>
    </row>
    <row r="35" customFormat="false" ht="39.55" hidden="false" customHeight="false" outlineLevel="0" collapsed="false">
      <c r="A35" s="28" t="s">
        <v>1059</v>
      </c>
      <c r="B35" s="5" t="s">
        <v>1060</v>
      </c>
      <c r="C35" s="5" t="s">
        <v>194</v>
      </c>
      <c r="D35" s="5" t="s">
        <v>133</v>
      </c>
      <c r="E35" s="5" t="s">
        <v>514</v>
      </c>
      <c r="F35" s="5" t="s">
        <v>513</v>
      </c>
      <c r="G35" s="5" t="s">
        <v>192</v>
      </c>
      <c r="H35" s="5" t="s">
        <v>791</v>
      </c>
      <c r="I35" s="15" t="n">
        <v>44014</v>
      </c>
      <c r="J35" s="5" t="n">
        <v>2020</v>
      </c>
      <c r="K35" s="26" t="n">
        <v>0</v>
      </c>
      <c r="L35" s="5" t="s">
        <v>166</v>
      </c>
      <c r="M35" s="5" t="s">
        <v>994</v>
      </c>
      <c r="N35" s="5" t="s">
        <v>983</v>
      </c>
      <c r="O35" s="5" t="s">
        <v>1042</v>
      </c>
      <c r="P35" s="5" t="s">
        <v>705</v>
      </c>
      <c r="Q35" s="5" t="s">
        <v>1061</v>
      </c>
      <c r="R35" s="5" t="s">
        <v>1062</v>
      </c>
      <c r="S35" s="5" t="s">
        <v>1063</v>
      </c>
      <c r="T35" s="5" t="s">
        <v>1027</v>
      </c>
      <c r="U35" s="5" t="s">
        <v>516</v>
      </c>
      <c r="V35" s="5" t="s">
        <v>166</v>
      </c>
      <c r="W35" s="5" t="s">
        <v>492</v>
      </c>
      <c r="X35" s="5" t="s">
        <v>987</v>
      </c>
      <c r="Y35" s="5" t="s">
        <v>494</v>
      </c>
      <c r="Z35" s="5" t="s">
        <v>1001</v>
      </c>
      <c r="AA35" s="5" t="s">
        <v>1002</v>
      </c>
      <c r="AB35" s="5"/>
      <c r="AC35" s="5" t="s">
        <v>989</v>
      </c>
    </row>
    <row r="36" customFormat="false" ht="26.85" hidden="false" customHeight="false" outlineLevel="0" collapsed="false">
      <c r="A36" s="28" t="s">
        <v>789</v>
      </c>
      <c r="B36" s="5" t="s">
        <v>790</v>
      </c>
      <c r="C36" s="5" t="s">
        <v>194</v>
      </c>
      <c r="D36" s="5" t="s">
        <v>133</v>
      </c>
      <c r="E36" s="5" t="s">
        <v>514</v>
      </c>
      <c r="F36" s="5" t="s">
        <v>513</v>
      </c>
      <c r="G36" s="5" t="s">
        <v>192</v>
      </c>
      <c r="H36" s="5" t="s">
        <v>791</v>
      </c>
      <c r="I36" s="15" t="n">
        <v>44049</v>
      </c>
      <c r="J36" s="5" t="n">
        <v>2020</v>
      </c>
      <c r="K36" s="26" t="n">
        <v>0</v>
      </c>
      <c r="L36" s="5" t="s">
        <v>166</v>
      </c>
      <c r="M36" s="5" t="s">
        <v>982</v>
      </c>
      <c r="N36" s="5" t="s">
        <v>983</v>
      </c>
      <c r="O36" s="5" t="s">
        <v>984</v>
      </c>
      <c r="P36" s="5" t="s">
        <v>703</v>
      </c>
      <c r="Q36" s="5" t="s">
        <v>978</v>
      </c>
      <c r="R36" s="5"/>
      <c r="S36" s="5" t="s">
        <v>1064</v>
      </c>
      <c r="T36" s="5" t="s">
        <v>1027</v>
      </c>
      <c r="U36" s="5" t="s">
        <v>516</v>
      </c>
      <c r="V36" s="5" t="s">
        <v>166</v>
      </c>
      <c r="W36" s="5" t="s">
        <v>492</v>
      </c>
      <c r="X36" s="5" t="s">
        <v>987</v>
      </c>
      <c r="Y36" s="5" t="s">
        <v>494</v>
      </c>
      <c r="Z36" s="5" t="s">
        <v>753</v>
      </c>
      <c r="AA36" s="5" t="s">
        <v>754</v>
      </c>
      <c r="AB36" s="5"/>
      <c r="AC36" s="5" t="s">
        <v>989</v>
      </c>
    </row>
    <row r="37" customFormat="false" ht="39.55" hidden="false" customHeight="false" outlineLevel="0" collapsed="false">
      <c r="A37" s="28" t="s">
        <v>737</v>
      </c>
      <c r="B37" s="5" t="s">
        <v>1065</v>
      </c>
      <c r="C37" s="5" t="s">
        <v>194</v>
      </c>
      <c r="D37" s="5" t="s">
        <v>133</v>
      </c>
      <c r="E37" s="5" t="s">
        <v>514</v>
      </c>
      <c r="F37" s="5" t="s">
        <v>513</v>
      </c>
      <c r="G37" s="5" t="s">
        <v>192</v>
      </c>
      <c r="H37" s="5" t="s">
        <v>752</v>
      </c>
      <c r="I37" s="15" t="n">
        <v>44064</v>
      </c>
      <c r="J37" s="5" t="n">
        <v>2020</v>
      </c>
      <c r="K37" s="26" t="n">
        <v>371007.16</v>
      </c>
      <c r="L37" s="5" t="s">
        <v>166</v>
      </c>
      <c r="M37" s="5" t="s">
        <v>994</v>
      </c>
      <c r="N37" s="5" t="s">
        <v>983</v>
      </c>
      <c r="O37" s="5" t="s">
        <v>984</v>
      </c>
      <c r="P37" s="5" t="s">
        <v>703</v>
      </c>
      <c r="Q37" s="5" t="s">
        <v>978</v>
      </c>
      <c r="R37" s="5"/>
      <c r="S37" s="5" t="s">
        <v>1064</v>
      </c>
      <c r="T37" s="5" t="s">
        <v>1066</v>
      </c>
      <c r="U37" s="5" t="s">
        <v>543</v>
      </c>
      <c r="V37" s="5" t="s">
        <v>166</v>
      </c>
      <c r="W37" s="5" t="s">
        <v>492</v>
      </c>
      <c r="X37" s="5" t="s">
        <v>987</v>
      </c>
      <c r="Y37" s="5" t="s">
        <v>494</v>
      </c>
      <c r="Z37" s="5" t="s">
        <v>1001</v>
      </c>
      <c r="AA37" s="5" t="s">
        <v>1002</v>
      </c>
      <c r="AB37" s="5"/>
      <c r="AC37" s="5" t="s">
        <v>989</v>
      </c>
    </row>
    <row r="38" customFormat="false" ht="39.55" hidden="false" customHeight="false" outlineLevel="0" collapsed="false">
      <c r="A38" s="28" t="s">
        <v>1067</v>
      </c>
      <c r="B38" s="5" t="s">
        <v>1068</v>
      </c>
      <c r="C38" s="5" t="s">
        <v>194</v>
      </c>
      <c r="D38" s="5" t="s">
        <v>133</v>
      </c>
      <c r="E38" s="5" t="s">
        <v>514</v>
      </c>
      <c r="F38" s="5" t="s">
        <v>513</v>
      </c>
      <c r="G38" s="5" t="s">
        <v>192</v>
      </c>
      <c r="H38" s="5" t="s">
        <v>752</v>
      </c>
      <c r="I38" s="15" t="n">
        <v>44096</v>
      </c>
      <c r="J38" s="5" t="n">
        <v>2020</v>
      </c>
      <c r="K38" s="26" t="n">
        <v>92751.88</v>
      </c>
      <c r="L38" s="5" t="s">
        <v>166</v>
      </c>
      <c r="M38" s="5" t="s">
        <v>1041</v>
      </c>
      <c r="N38" s="5" t="s">
        <v>983</v>
      </c>
      <c r="O38" s="5" t="s">
        <v>1042</v>
      </c>
      <c r="P38" s="5" t="s">
        <v>705</v>
      </c>
      <c r="Q38" s="5" t="s">
        <v>1069</v>
      </c>
      <c r="R38" s="5"/>
      <c r="S38" s="5" t="s">
        <v>1064</v>
      </c>
      <c r="T38" s="5" t="s">
        <v>1027</v>
      </c>
      <c r="U38" s="5" t="s">
        <v>516</v>
      </c>
      <c r="V38" s="5" t="s">
        <v>166</v>
      </c>
      <c r="W38" s="5" t="s">
        <v>492</v>
      </c>
      <c r="X38" s="5" t="s">
        <v>987</v>
      </c>
      <c r="Y38" s="5" t="s">
        <v>494</v>
      </c>
      <c r="Z38" s="5" t="s">
        <v>1001</v>
      </c>
      <c r="AA38" s="5" t="s">
        <v>1002</v>
      </c>
      <c r="AB38" s="5"/>
      <c r="AC38" s="5" t="s">
        <v>989</v>
      </c>
    </row>
    <row r="39" customFormat="false" ht="39.55" hidden="false" customHeight="false" outlineLevel="0" collapsed="false">
      <c r="A39" s="28" t="s">
        <v>1070</v>
      </c>
      <c r="B39" s="5" t="s">
        <v>1071</v>
      </c>
      <c r="C39" s="5" t="s">
        <v>194</v>
      </c>
      <c r="D39" s="5" t="s">
        <v>133</v>
      </c>
      <c r="E39" s="5" t="s">
        <v>514</v>
      </c>
      <c r="F39" s="5" t="s">
        <v>513</v>
      </c>
      <c r="G39" s="5" t="s">
        <v>192</v>
      </c>
      <c r="H39" s="5" t="s">
        <v>752</v>
      </c>
      <c r="I39" s="15" t="n">
        <v>44127</v>
      </c>
      <c r="J39" s="5" t="n">
        <v>2020</v>
      </c>
      <c r="K39" s="26" t="n">
        <v>111302.18</v>
      </c>
      <c r="L39" s="5" t="s">
        <v>166</v>
      </c>
      <c r="M39" s="5" t="s">
        <v>1041</v>
      </c>
      <c r="N39" s="5" t="s">
        <v>983</v>
      </c>
      <c r="O39" s="5" t="s">
        <v>1042</v>
      </c>
      <c r="P39" s="5" t="s">
        <v>705</v>
      </c>
      <c r="Q39" s="5" t="s">
        <v>1069</v>
      </c>
      <c r="R39" s="5"/>
      <c r="S39" s="5" t="s">
        <v>1072</v>
      </c>
      <c r="T39" s="5" t="s">
        <v>1027</v>
      </c>
      <c r="U39" s="5" t="s">
        <v>516</v>
      </c>
      <c r="V39" s="5" t="s">
        <v>166</v>
      </c>
      <c r="W39" s="5" t="s">
        <v>492</v>
      </c>
      <c r="X39" s="5" t="s">
        <v>987</v>
      </c>
      <c r="Y39" s="5" t="s">
        <v>494</v>
      </c>
      <c r="Z39" s="5" t="s">
        <v>1001</v>
      </c>
      <c r="AA39" s="5" t="s">
        <v>1002</v>
      </c>
      <c r="AB39" s="5"/>
      <c r="AC39" s="5" t="s">
        <v>989</v>
      </c>
    </row>
    <row r="40" customFormat="false" ht="39.55" hidden="false" customHeight="false" outlineLevel="0" collapsed="false">
      <c r="A40" s="28" t="s">
        <v>1073</v>
      </c>
      <c r="B40" s="5" t="s">
        <v>1074</v>
      </c>
      <c r="C40" s="5" t="s">
        <v>194</v>
      </c>
      <c r="D40" s="5" t="s">
        <v>133</v>
      </c>
      <c r="E40" s="5" t="s">
        <v>514</v>
      </c>
      <c r="F40" s="5" t="s">
        <v>513</v>
      </c>
      <c r="G40" s="5" t="s">
        <v>192</v>
      </c>
      <c r="H40" s="5" t="s">
        <v>752</v>
      </c>
      <c r="I40" s="15" t="n">
        <v>44189</v>
      </c>
      <c r="J40" s="5" t="n">
        <v>2020</v>
      </c>
      <c r="K40" s="26" t="n">
        <v>74201.4</v>
      </c>
      <c r="L40" s="5" t="s">
        <v>166</v>
      </c>
      <c r="M40" s="5" t="s">
        <v>1041</v>
      </c>
      <c r="N40" s="5" t="s">
        <v>983</v>
      </c>
      <c r="O40" s="5" t="s">
        <v>1042</v>
      </c>
      <c r="P40" s="5" t="s">
        <v>705</v>
      </c>
      <c r="Q40" s="5" t="s">
        <v>1069</v>
      </c>
      <c r="R40" s="5"/>
      <c r="S40" s="5" t="s">
        <v>1064</v>
      </c>
      <c r="T40" s="5" t="s">
        <v>1027</v>
      </c>
      <c r="U40" s="5" t="s">
        <v>516</v>
      </c>
      <c r="V40" s="5" t="s">
        <v>166</v>
      </c>
      <c r="W40" s="5" t="s">
        <v>492</v>
      </c>
      <c r="X40" s="5" t="s">
        <v>987</v>
      </c>
      <c r="Y40" s="5" t="s">
        <v>494</v>
      </c>
      <c r="Z40" s="5" t="s">
        <v>1001</v>
      </c>
      <c r="AA40" s="5" t="s">
        <v>1002</v>
      </c>
      <c r="AB40" s="5"/>
      <c r="AC40" s="5" t="s">
        <v>989</v>
      </c>
    </row>
    <row r="41" customFormat="false" ht="39.55" hidden="false" customHeight="false" outlineLevel="0" collapsed="false">
      <c r="A41" s="28" t="s">
        <v>1075</v>
      </c>
      <c r="B41" s="5" t="s">
        <v>1076</v>
      </c>
      <c r="C41" s="5" t="s">
        <v>194</v>
      </c>
      <c r="D41" s="5" t="s">
        <v>133</v>
      </c>
      <c r="E41" s="5" t="s">
        <v>514</v>
      </c>
      <c r="F41" s="5" t="s">
        <v>513</v>
      </c>
      <c r="G41" s="5" t="s">
        <v>192</v>
      </c>
      <c r="H41" s="5" t="s">
        <v>752</v>
      </c>
      <c r="I41" s="15" t="n">
        <v>44315</v>
      </c>
      <c r="J41" s="5" t="n">
        <v>2021</v>
      </c>
      <c r="K41" s="26" t="n">
        <v>282006.53</v>
      </c>
      <c r="L41" s="5" t="s">
        <v>166</v>
      </c>
      <c r="M41" s="5" t="s">
        <v>975</v>
      </c>
      <c r="N41" s="5" t="s">
        <v>983</v>
      </c>
      <c r="O41" s="5" t="s">
        <v>984</v>
      </c>
      <c r="P41" s="5" t="s">
        <v>703</v>
      </c>
      <c r="Q41" s="5" t="s">
        <v>978</v>
      </c>
      <c r="R41" s="5"/>
      <c r="S41" s="5" t="s">
        <v>1064</v>
      </c>
      <c r="T41" s="5" t="s">
        <v>1027</v>
      </c>
      <c r="U41" s="5" t="s">
        <v>516</v>
      </c>
      <c r="V41" s="5" t="s">
        <v>166</v>
      </c>
      <c r="W41" s="5" t="s">
        <v>492</v>
      </c>
      <c r="X41" s="5" t="s">
        <v>493</v>
      </c>
      <c r="Y41" s="5" t="s">
        <v>494</v>
      </c>
      <c r="Z41" s="5" t="s">
        <v>1001</v>
      </c>
      <c r="AA41" s="5" t="s">
        <v>1002</v>
      </c>
      <c r="AB41" s="5"/>
      <c r="AC41" s="5" t="s">
        <v>989</v>
      </c>
    </row>
    <row r="42" customFormat="false" ht="39.55" hidden="false" customHeight="false" outlineLevel="0" collapsed="false">
      <c r="A42" s="28" t="s">
        <v>1077</v>
      </c>
      <c r="B42" s="5" t="s">
        <v>1078</v>
      </c>
      <c r="C42" s="5" t="s">
        <v>194</v>
      </c>
      <c r="D42" s="5" t="s">
        <v>133</v>
      </c>
      <c r="E42" s="5" t="s">
        <v>514</v>
      </c>
      <c r="F42" s="5" t="s">
        <v>513</v>
      </c>
      <c r="G42" s="5" t="s">
        <v>192</v>
      </c>
      <c r="H42" s="5" t="s">
        <v>752</v>
      </c>
      <c r="I42" s="15" t="n">
        <v>44558</v>
      </c>
      <c r="J42" s="5" t="n">
        <v>2021</v>
      </c>
      <c r="K42" s="26" t="n">
        <v>78821.68</v>
      </c>
      <c r="L42" s="5" t="s">
        <v>166</v>
      </c>
      <c r="M42" s="5" t="s">
        <v>975</v>
      </c>
      <c r="N42" s="5" t="s">
        <v>983</v>
      </c>
      <c r="O42" s="5" t="s">
        <v>984</v>
      </c>
      <c r="P42" s="5" t="s">
        <v>703</v>
      </c>
      <c r="Q42" s="5" t="s">
        <v>978</v>
      </c>
      <c r="R42" s="5"/>
      <c r="S42" s="5" t="s">
        <v>1072</v>
      </c>
      <c r="T42" s="5" t="s">
        <v>1027</v>
      </c>
      <c r="U42" s="5" t="s">
        <v>516</v>
      </c>
      <c r="V42" s="5" t="s">
        <v>166</v>
      </c>
      <c r="W42" s="5" t="s">
        <v>492</v>
      </c>
      <c r="X42" s="5" t="s">
        <v>1079</v>
      </c>
      <c r="Y42" s="5" t="s">
        <v>1079</v>
      </c>
      <c r="Z42" s="5" t="s">
        <v>1001</v>
      </c>
      <c r="AA42" s="5" t="s">
        <v>1002</v>
      </c>
      <c r="AB42" s="5"/>
      <c r="AC42" s="5" t="s">
        <v>989</v>
      </c>
    </row>
    <row r="43" customFormat="false" ht="39.55" hidden="false" customHeight="false" outlineLevel="0" collapsed="false">
      <c r="A43" s="28" t="s">
        <v>728</v>
      </c>
      <c r="B43" s="5" t="s">
        <v>1080</v>
      </c>
      <c r="C43" s="5" t="s">
        <v>194</v>
      </c>
      <c r="D43" s="5" t="s">
        <v>133</v>
      </c>
      <c r="E43" s="5" t="s">
        <v>514</v>
      </c>
      <c r="F43" s="5" t="s">
        <v>513</v>
      </c>
      <c r="G43" s="5" t="s">
        <v>192</v>
      </c>
      <c r="H43" s="5" t="s">
        <v>752</v>
      </c>
      <c r="I43" s="15" t="n">
        <v>44771</v>
      </c>
      <c r="J43" s="5" t="n">
        <v>2022</v>
      </c>
      <c r="K43" s="26" t="n">
        <v>613057.77</v>
      </c>
      <c r="L43" s="5" t="s">
        <v>166</v>
      </c>
      <c r="M43" s="5" t="s">
        <v>975</v>
      </c>
      <c r="N43" s="5" t="s">
        <v>983</v>
      </c>
      <c r="O43" s="5" t="s">
        <v>984</v>
      </c>
      <c r="P43" s="5" t="s">
        <v>703</v>
      </c>
      <c r="Q43" s="5" t="s">
        <v>978</v>
      </c>
      <c r="R43" s="5"/>
      <c r="S43" s="5" t="s">
        <v>1081</v>
      </c>
      <c r="T43" s="5" t="s">
        <v>1027</v>
      </c>
      <c r="U43" s="5" t="s">
        <v>516</v>
      </c>
      <c r="V43" s="5" t="s">
        <v>166</v>
      </c>
      <c r="W43" s="5" t="s">
        <v>492</v>
      </c>
      <c r="X43" s="5" t="s">
        <v>493</v>
      </c>
      <c r="Y43" s="5" t="s">
        <v>494</v>
      </c>
      <c r="Z43" s="5" t="s">
        <v>1001</v>
      </c>
      <c r="AA43" s="5" t="s">
        <v>1002</v>
      </c>
      <c r="AB43" s="5"/>
      <c r="AC43" s="5" t="s">
        <v>989</v>
      </c>
    </row>
    <row r="44" customFormat="false" ht="39.55" hidden="false" customHeight="false" outlineLevel="0" collapsed="false">
      <c r="A44" s="28" t="s">
        <v>1082</v>
      </c>
      <c r="B44" s="5" t="s">
        <v>1083</v>
      </c>
      <c r="C44" s="5" t="s">
        <v>194</v>
      </c>
      <c r="D44" s="5" t="s">
        <v>133</v>
      </c>
      <c r="E44" s="5" t="s">
        <v>514</v>
      </c>
      <c r="F44" s="5" t="s">
        <v>513</v>
      </c>
      <c r="G44" s="5" t="s">
        <v>192</v>
      </c>
      <c r="H44" s="5" t="s">
        <v>752</v>
      </c>
      <c r="I44" s="15" t="n">
        <v>45216</v>
      </c>
      <c r="J44" s="5" t="n">
        <v>2023</v>
      </c>
      <c r="K44" s="26" t="n">
        <v>270347.27</v>
      </c>
      <c r="L44" s="5" t="s">
        <v>166</v>
      </c>
      <c r="M44" s="5" t="s">
        <v>975</v>
      </c>
      <c r="N44" s="5" t="s">
        <v>983</v>
      </c>
      <c r="O44" s="5" t="s">
        <v>984</v>
      </c>
      <c r="P44" s="5" t="s">
        <v>703</v>
      </c>
      <c r="Q44" s="5" t="s">
        <v>978</v>
      </c>
      <c r="R44" s="5"/>
      <c r="S44" s="5" t="s">
        <v>1081</v>
      </c>
      <c r="T44" s="5" t="s">
        <v>1066</v>
      </c>
      <c r="U44" s="5" t="s">
        <v>543</v>
      </c>
      <c r="V44" s="5" t="s">
        <v>166</v>
      </c>
      <c r="W44" s="5" t="s">
        <v>492</v>
      </c>
      <c r="X44" s="5" t="s">
        <v>493</v>
      </c>
      <c r="Y44" s="5" t="s">
        <v>494</v>
      </c>
      <c r="Z44" s="5" t="s">
        <v>1001</v>
      </c>
      <c r="AA44" s="5" t="s">
        <v>1002</v>
      </c>
      <c r="AB44" s="5"/>
      <c r="AC44" s="5" t="s">
        <v>989</v>
      </c>
    </row>
    <row r="45" customFormat="false" ht="39.55" hidden="false" customHeight="false" outlineLevel="0" collapsed="false">
      <c r="A45" s="28" t="s">
        <v>1084</v>
      </c>
      <c r="B45" s="5" t="s">
        <v>1085</v>
      </c>
      <c r="C45" s="5" t="s">
        <v>194</v>
      </c>
      <c r="D45" s="5" t="s">
        <v>133</v>
      </c>
      <c r="E45" s="5" t="s">
        <v>514</v>
      </c>
      <c r="F45" s="5" t="s">
        <v>513</v>
      </c>
      <c r="G45" s="5" t="s">
        <v>192</v>
      </c>
      <c r="H45" s="5" t="s">
        <v>791</v>
      </c>
      <c r="I45" s="15" t="n">
        <v>45814</v>
      </c>
      <c r="J45" s="5" t="n">
        <v>2025</v>
      </c>
      <c r="K45" s="26" t="n">
        <v>129397.53</v>
      </c>
      <c r="L45" s="5" t="s">
        <v>166</v>
      </c>
      <c r="M45" s="5" t="s">
        <v>994</v>
      </c>
      <c r="N45" s="5" t="s">
        <v>976</v>
      </c>
      <c r="O45" s="5" t="s">
        <v>977</v>
      </c>
      <c r="P45" s="5" t="s">
        <v>706</v>
      </c>
      <c r="Q45" s="5" t="s">
        <v>978</v>
      </c>
      <c r="R45" s="5" t="s">
        <v>1055</v>
      </c>
      <c r="S45" s="5" t="s">
        <v>1086</v>
      </c>
      <c r="T45" s="5" t="s">
        <v>1027</v>
      </c>
      <c r="U45" s="5" t="s">
        <v>516</v>
      </c>
      <c r="V45" s="5" t="s">
        <v>166</v>
      </c>
      <c r="W45" s="5" t="s">
        <v>492</v>
      </c>
      <c r="X45" s="5" t="s">
        <v>493</v>
      </c>
      <c r="Y45" s="5" t="s">
        <v>494</v>
      </c>
      <c r="Z45" s="5" t="s">
        <v>1001</v>
      </c>
      <c r="AA45" s="5" t="s">
        <v>1002</v>
      </c>
      <c r="AB45" s="5"/>
      <c r="AC45" s="5" t="s">
        <v>993</v>
      </c>
    </row>
    <row r="46" customFormat="false" ht="26.85" hidden="false" customHeight="false" outlineLevel="0" collapsed="false">
      <c r="A46" s="28" t="s">
        <v>800</v>
      </c>
      <c r="B46" s="5" t="s">
        <v>801</v>
      </c>
      <c r="C46" s="5" t="s">
        <v>194</v>
      </c>
      <c r="D46" s="5" t="s">
        <v>133</v>
      </c>
      <c r="E46" s="5" t="s">
        <v>514</v>
      </c>
      <c r="F46" s="5" t="s">
        <v>513</v>
      </c>
      <c r="G46" s="5" t="s">
        <v>192</v>
      </c>
      <c r="H46" s="5" t="s">
        <v>791</v>
      </c>
      <c r="I46" s="15" t="n">
        <v>45862</v>
      </c>
      <c r="J46" s="5" t="n">
        <v>2025</v>
      </c>
      <c r="K46" s="26" t="n">
        <v>431325.17</v>
      </c>
      <c r="L46" s="5" t="s">
        <v>166</v>
      </c>
      <c r="M46" s="5" t="s">
        <v>994</v>
      </c>
      <c r="N46" s="5" t="s">
        <v>976</v>
      </c>
      <c r="O46" s="5" t="s">
        <v>977</v>
      </c>
      <c r="P46" s="5" t="s">
        <v>706</v>
      </c>
      <c r="Q46" s="5" t="s">
        <v>978</v>
      </c>
      <c r="R46" s="5" t="s">
        <v>1055</v>
      </c>
      <c r="S46" s="5" t="s">
        <v>1081</v>
      </c>
      <c r="T46" s="5" t="s">
        <v>1027</v>
      </c>
      <c r="U46" s="5" t="s">
        <v>516</v>
      </c>
      <c r="V46" s="5" t="s">
        <v>166</v>
      </c>
      <c r="W46" s="5" t="s">
        <v>492</v>
      </c>
      <c r="X46" s="5" t="s">
        <v>493</v>
      </c>
      <c r="Y46" s="5" t="s">
        <v>494</v>
      </c>
      <c r="Z46" s="5" t="s">
        <v>764</v>
      </c>
      <c r="AA46" s="5" t="s">
        <v>796</v>
      </c>
      <c r="AB46" s="5"/>
      <c r="AC46" s="5" t="s">
        <v>1011</v>
      </c>
    </row>
    <row r="47" customFormat="false" ht="39.55" hidden="false" customHeight="false" outlineLevel="0" collapsed="false">
      <c r="A47" s="28" t="s">
        <v>1087</v>
      </c>
      <c r="B47" s="5" t="s">
        <v>1088</v>
      </c>
      <c r="C47" s="5" t="s">
        <v>194</v>
      </c>
      <c r="D47" s="5" t="s">
        <v>133</v>
      </c>
      <c r="E47" s="5" t="s">
        <v>514</v>
      </c>
      <c r="F47" s="5" t="s">
        <v>513</v>
      </c>
      <c r="G47" s="5" t="s">
        <v>192</v>
      </c>
      <c r="H47" s="5" t="s">
        <v>752</v>
      </c>
      <c r="I47" s="15" t="n">
        <v>45915</v>
      </c>
      <c r="J47" s="5" t="n">
        <v>2025</v>
      </c>
      <c r="K47" s="26" t="n">
        <v>187626.42</v>
      </c>
      <c r="L47" s="5" t="s">
        <v>166</v>
      </c>
      <c r="M47" s="5" t="s">
        <v>975</v>
      </c>
      <c r="N47" s="5" t="s">
        <v>983</v>
      </c>
      <c r="O47" s="5" t="s">
        <v>1042</v>
      </c>
      <c r="P47" s="5" t="s">
        <v>705</v>
      </c>
      <c r="Q47" s="5" t="s">
        <v>1069</v>
      </c>
      <c r="R47" s="5"/>
      <c r="S47" s="5" t="s">
        <v>1081</v>
      </c>
      <c r="T47" s="5" t="s">
        <v>1066</v>
      </c>
      <c r="U47" s="5" t="s">
        <v>543</v>
      </c>
      <c r="V47" s="5" t="s">
        <v>166</v>
      </c>
      <c r="W47" s="5" t="s">
        <v>492</v>
      </c>
      <c r="X47" s="5" t="s">
        <v>493</v>
      </c>
      <c r="Y47" s="5" t="s">
        <v>494</v>
      </c>
      <c r="Z47" s="5" t="s">
        <v>1001</v>
      </c>
      <c r="AA47" s="5" t="s">
        <v>1002</v>
      </c>
      <c r="AB47" s="5"/>
      <c r="AC47" s="5" t="s">
        <v>989</v>
      </c>
    </row>
    <row r="48" customFormat="false" ht="39.55" hidden="false" customHeight="false" outlineLevel="0" collapsed="false">
      <c r="A48" s="28" t="s">
        <v>736</v>
      </c>
      <c r="B48" s="5" t="s">
        <v>1089</v>
      </c>
      <c r="C48" s="5" t="s">
        <v>194</v>
      </c>
      <c r="D48" s="5" t="s">
        <v>133</v>
      </c>
      <c r="E48" s="5" t="s">
        <v>514</v>
      </c>
      <c r="F48" s="5" t="s">
        <v>513</v>
      </c>
      <c r="G48" s="5" t="s">
        <v>192</v>
      </c>
      <c r="H48" s="5" t="s">
        <v>752</v>
      </c>
      <c r="I48" s="15" t="n">
        <v>46216</v>
      </c>
      <c r="J48" s="5" t="n">
        <v>2026</v>
      </c>
      <c r="K48" s="26" t="n">
        <v>394199.93</v>
      </c>
      <c r="L48" s="5" t="s">
        <v>166</v>
      </c>
      <c r="M48" s="5" t="s">
        <v>975</v>
      </c>
      <c r="N48" s="5" t="s">
        <v>983</v>
      </c>
      <c r="O48" s="5" t="s">
        <v>984</v>
      </c>
      <c r="P48" s="5" t="s">
        <v>703</v>
      </c>
      <c r="Q48" s="5" t="s">
        <v>978</v>
      </c>
      <c r="R48" s="5"/>
      <c r="S48" s="5" t="s">
        <v>1090</v>
      </c>
      <c r="T48" s="5" t="s">
        <v>1066</v>
      </c>
      <c r="U48" s="5" t="s">
        <v>543</v>
      </c>
      <c r="V48" s="5" t="s">
        <v>166</v>
      </c>
      <c r="W48" s="5" t="s">
        <v>492</v>
      </c>
      <c r="X48" s="5" t="s">
        <v>493</v>
      </c>
      <c r="Y48" s="5" t="s">
        <v>494</v>
      </c>
      <c r="Z48" s="5" t="s">
        <v>1001</v>
      </c>
      <c r="AA48" s="5" t="s">
        <v>1002</v>
      </c>
      <c r="AB48" s="5"/>
      <c r="AC48" s="5" t="s">
        <v>989</v>
      </c>
    </row>
    <row r="49" customFormat="false" ht="39.55" hidden="false" customHeight="false" outlineLevel="0" collapsed="false">
      <c r="A49" s="28" t="s">
        <v>1091</v>
      </c>
      <c r="B49" s="5" t="s">
        <v>1092</v>
      </c>
      <c r="C49" s="5" t="s">
        <v>156</v>
      </c>
      <c r="D49" s="5" t="s">
        <v>133</v>
      </c>
      <c r="E49" s="5" t="s">
        <v>503</v>
      </c>
      <c r="F49" s="5" t="s">
        <v>607</v>
      </c>
      <c r="G49" s="5" t="s">
        <v>127</v>
      </c>
      <c r="H49" s="5" t="s">
        <v>791</v>
      </c>
      <c r="I49" s="15" t="n">
        <v>43553</v>
      </c>
      <c r="J49" s="5" t="n">
        <v>2019</v>
      </c>
      <c r="K49" s="26" t="n">
        <v>0</v>
      </c>
      <c r="L49" s="5" t="s">
        <v>166</v>
      </c>
      <c r="M49" s="5" t="s">
        <v>994</v>
      </c>
      <c r="N49" s="5" t="s">
        <v>983</v>
      </c>
      <c r="O49" s="5" t="s">
        <v>1034</v>
      </c>
      <c r="P49" s="5" t="s">
        <v>707</v>
      </c>
      <c r="Q49" s="5" t="s">
        <v>1035</v>
      </c>
      <c r="R49" s="5" t="s">
        <v>1006</v>
      </c>
      <c r="S49" s="5" t="s">
        <v>1093</v>
      </c>
      <c r="T49" s="5" t="s">
        <v>1047</v>
      </c>
      <c r="U49" s="5" t="s">
        <v>665</v>
      </c>
      <c r="V49" s="5" t="s">
        <v>133</v>
      </c>
      <c r="W49" s="5" t="s">
        <v>492</v>
      </c>
      <c r="X49" s="5" t="s">
        <v>987</v>
      </c>
      <c r="Y49" s="5" t="s">
        <v>494</v>
      </c>
      <c r="Z49" s="5" t="s">
        <v>1001</v>
      </c>
      <c r="AA49" s="5" t="s">
        <v>1002</v>
      </c>
      <c r="AB49" s="5"/>
      <c r="AC49" s="5" t="s">
        <v>989</v>
      </c>
    </row>
    <row r="50" customFormat="false" ht="39.55" hidden="false" customHeight="false" outlineLevel="0" collapsed="false">
      <c r="A50" s="28" t="s">
        <v>1094</v>
      </c>
      <c r="B50" s="5" t="s">
        <v>1095</v>
      </c>
      <c r="C50" s="5" t="s">
        <v>156</v>
      </c>
      <c r="D50" s="5" t="s">
        <v>133</v>
      </c>
      <c r="E50" s="5" t="s">
        <v>503</v>
      </c>
      <c r="F50" s="5" t="s">
        <v>607</v>
      </c>
      <c r="G50" s="5" t="s">
        <v>127</v>
      </c>
      <c r="H50" s="5" t="s">
        <v>791</v>
      </c>
      <c r="I50" s="15" t="n">
        <v>43581</v>
      </c>
      <c r="J50" s="5" t="n">
        <v>2019</v>
      </c>
      <c r="K50" s="26" t="n">
        <v>0</v>
      </c>
      <c r="L50" s="5" t="s">
        <v>166</v>
      </c>
      <c r="M50" s="5" t="s">
        <v>975</v>
      </c>
      <c r="N50" s="5" t="s">
        <v>983</v>
      </c>
      <c r="O50" s="5" t="s">
        <v>1009</v>
      </c>
      <c r="P50" s="5" t="s">
        <v>704</v>
      </c>
      <c r="Q50" s="5" t="s">
        <v>978</v>
      </c>
      <c r="R50" s="5" t="s">
        <v>1096</v>
      </c>
      <c r="S50" s="5" t="s">
        <v>1039</v>
      </c>
      <c r="T50" s="5" t="s">
        <v>986</v>
      </c>
      <c r="U50" s="5" t="s">
        <v>506</v>
      </c>
      <c r="V50" s="5" t="s">
        <v>133</v>
      </c>
      <c r="W50" s="5" t="s">
        <v>492</v>
      </c>
      <c r="X50" s="5" t="s">
        <v>987</v>
      </c>
      <c r="Y50" s="5" t="s">
        <v>494</v>
      </c>
      <c r="Z50" s="5" t="s">
        <v>1001</v>
      </c>
      <c r="AA50" s="5" t="s">
        <v>1002</v>
      </c>
      <c r="AB50" s="5"/>
      <c r="AC50" s="5" t="s">
        <v>989</v>
      </c>
    </row>
    <row r="51" customFormat="false" ht="39.55" hidden="false" customHeight="false" outlineLevel="0" collapsed="false">
      <c r="A51" s="28" t="s">
        <v>1097</v>
      </c>
      <c r="B51" s="5" t="s">
        <v>1098</v>
      </c>
      <c r="C51" s="5" t="s">
        <v>156</v>
      </c>
      <c r="D51" s="5" t="s">
        <v>133</v>
      </c>
      <c r="E51" s="5" t="s">
        <v>503</v>
      </c>
      <c r="F51" s="5" t="s">
        <v>607</v>
      </c>
      <c r="G51" s="5" t="s">
        <v>127</v>
      </c>
      <c r="H51" s="5" t="s">
        <v>791</v>
      </c>
      <c r="I51" s="15" t="n">
        <v>43861</v>
      </c>
      <c r="J51" s="5" t="n">
        <v>2020</v>
      </c>
      <c r="K51" s="26" t="n">
        <v>834766.2</v>
      </c>
      <c r="L51" s="5" t="s">
        <v>166</v>
      </c>
      <c r="M51" s="5" t="s">
        <v>975</v>
      </c>
      <c r="N51" s="5" t="s">
        <v>983</v>
      </c>
      <c r="O51" s="5" t="s">
        <v>1009</v>
      </c>
      <c r="P51" s="5" t="s">
        <v>704</v>
      </c>
      <c r="Q51" s="5" t="s">
        <v>978</v>
      </c>
      <c r="R51" s="5"/>
      <c r="S51" s="5" t="s">
        <v>1099</v>
      </c>
      <c r="T51" s="5" t="s">
        <v>980</v>
      </c>
      <c r="U51" s="5" t="s">
        <v>572</v>
      </c>
      <c r="V51" s="5" t="s">
        <v>166</v>
      </c>
      <c r="W51" s="5" t="s">
        <v>492</v>
      </c>
      <c r="X51" s="5" t="s">
        <v>987</v>
      </c>
      <c r="Y51" s="5" t="s">
        <v>494</v>
      </c>
      <c r="Z51" s="5" t="s">
        <v>1001</v>
      </c>
      <c r="AA51" s="5" t="s">
        <v>1002</v>
      </c>
      <c r="AB51" s="5"/>
      <c r="AC51" s="5" t="s">
        <v>989</v>
      </c>
    </row>
    <row r="52" customFormat="false" ht="39.55" hidden="false" customHeight="false" outlineLevel="0" collapsed="false">
      <c r="A52" s="28" t="s">
        <v>727</v>
      </c>
      <c r="B52" s="5" t="s">
        <v>1100</v>
      </c>
      <c r="C52" s="5" t="s">
        <v>156</v>
      </c>
      <c r="D52" s="5" t="s">
        <v>133</v>
      </c>
      <c r="E52" s="5" t="s">
        <v>503</v>
      </c>
      <c r="F52" s="5" t="s">
        <v>607</v>
      </c>
      <c r="G52" s="5" t="s">
        <v>127</v>
      </c>
      <c r="H52" s="5" t="s">
        <v>752</v>
      </c>
      <c r="I52" s="15" t="n">
        <v>44188</v>
      </c>
      <c r="J52" s="5" t="n">
        <v>2020</v>
      </c>
      <c r="K52" s="26" t="n">
        <v>927517.91</v>
      </c>
      <c r="L52" s="5" t="s">
        <v>166</v>
      </c>
      <c r="M52" s="5" t="s">
        <v>975</v>
      </c>
      <c r="N52" s="5" t="s">
        <v>983</v>
      </c>
      <c r="O52" s="5" t="s">
        <v>984</v>
      </c>
      <c r="P52" s="5" t="s">
        <v>703</v>
      </c>
      <c r="Q52" s="5" t="s">
        <v>978</v>
      </c>
      <c r="R52" s="5"/>
      <c r="S52" s="5" t="s">
        <v>1039</v>
      </c>
      <c r="T52" s="5" t="s">
        <v>986</v>
      </c>
      <c r="U52" s="5" t="s">
        <v>506</v>
      </c>
      <c r="V52" s="5" t="s">
        <v>133</v>
      </c>
      <c r="W52" s="5" t="s">
        <v>492</v>
      </c>
      <c r="X52" s="5" t="s">
        <v>987</v>
      </c>
      <c r="Y52" s="5" t="s">
        <v>494</v>
      </c>
      <c r="Z52" s="5" t="s">
        <v>1001</v>
      </c>
      <c r="AA52" s="5" t="s">
        <v>1002</v>
      </c>
      <c r="AB52" s="5"/>
      <c r="AC52" s="5" t="s">
        <v>989</v>
      </c>
    </row>
    <row r="53" customFormat="false" ht="39.55" hidden="false" customHeight="false" outlineLevel="0" collapsed="false">
      <c r="A53" s="28" t="s">
        <v>734</v>
      </c>
      <c r="B53" s="5" t="s">
        <v>1101</v>
      </c>
      <c r="C53" s="5" t="s">
        <v>156</v>
      </c>
      <c r="D53" s="5" t="s">
        <v>133</v>
      </c>
      <c r="E53" s="5" t="s">
        <v>503</v>
      </c>
      <c r="F53" s="5" t="s">
        <v>607</v>
      </c>
      <c r="G53" s="5" t="s">
        <v>127</v>
      </c>
      <c r="H53" s="5" t="s">
        <v>752</v>
      </c>
      <c r="I53" s="15" t="n">
        <v>44286</v>
      </c>
      <c r="J53" s="5" t="n">
        <v>2021</v>
      </c>
      <c r="K53" s="26" t="n">
        <v>437898.36</v>
      </c>
      <c r="L53" s="5" t="s">
        <v>166</v>
      </c>
      <c r="M53" s="5" t="s">
        <v>975</v>
      </c>
      <c r="N53" s="5" t="s">
        <v>976</v>
      </c>
      <c r="O53" s="5" t="s">
        <v>984</v>
      </c>
      <c r="P53" s="5" t="s">
        <v>703</v>
      </c>
      <c r="Q53" s="5" t="s">
        <v>992</v>
      </c>
      <c r="R53" s="5"/>
      <c r="S53" s="5" t="s">
        <v>1039</v>
      </c>
      <c r="T53" s="5" t="s">
        <v>986</v>
      </c>
      <c r="U53" s="5" t="s">
        <v>506</v>
      </c>
      <c r="V53" s="5" t="s">
        <v>133</v>
      </c>
      <c r="W53" s="5" t="s">
        <v>492</v>
      </c>
      <c r="X53" s="5" t="s">
        <v>493</v>
      </c>
      <c r="Y53" s="5" t="s">
        <v>494</v>
      </c>
      <c r="Z53" s="5" t="s">
        <v>1001</v>
      </c>
      <c r="AA53" s="5" t="s">
        <v>1002</v>
      </c>
      <c r="AB53" s="5"/>
      <c r="AC53" s="5" t="s">
        <v>1102</v>
      </c>
    </row>
    <row r="54" customFormat="false" ht="39.55" hidden="false" customHeight="false" outlineLevel="0" collapsed="false">
      <c r="A54" s="28" t="s">
        <v>735</v>
      </c>
      <c r="B54" s="5" t="s">
        <v>1103</v>
      </c>
      <c r="C54" s="5" t="s">
        <v>156</v>
      </c>
      <c r="D54" s="5" t="s">
        <v>133</v>
      </c>
      <c r="E54" s="5" t="s">
        <v>503</v>
      </c>
      <c r="F54" s="5" t="s">
        <v>607</v>
      </c>
      <c r="G54" s="5" t="s">
        <v>127</v>
      </c>
      <c r="H54" s="5" t="s">
        <v>752</v>
      </c>
      <c r="I54" s="15" t="n">
        <v>44435</v>
      </c>
      <c r="J54" s="5" t="n">
        <v>2021</v>
      </c>
      <c r="K54" s="26" t="n">
        <v>437898.36</v>
      </c>
      <c r="L54" s="5" t="s">
        <v>133</v>
      </c>
      <c r="M54" s="5" t="s">
        <v>994</v>
      </c>
      <c r="N54" s="5" t="s">
        <v>976</v>
      </c>
      <c r="O54" s="5" t="s">
        <v>984</v>
      </c>
      <c r="P54" s="5" t="s">
        <v>703</v>
      </c>
      <c r="Q54" s="5" t="s">
        <v>992</v>
      </c>
      <c r="R54" s="5"/>
      <c r="S54" s="5" t="s">
        <v>1104</v>
      </c>
      <c r="T54" s="5" t="s">
        <v>986</v>
      </c>
      <c r="U54" s="5" t="s">
        <v>506</v>
      </c>
      <c r="V54" s="5" t="s">
        <v>133</v>
      </c>
      <c r="W54" s="5" t="s">
        <v>492</v>
      </c>
      <c r="X54" s="5" t="s">
        <v>493</v>
      </c>
      <c r="Y54" s="5" t="s">
        <v>494</v>
      </c>
      <c r="Z54" s="5" t="s">
        <v>1001</v>
      </c>
      <c r="AA54" s="5" t="s">
        <v>1002</v>
      </c>
      <c r="AB54" s="5"/>
      <c r="AC54" s="5" t="s">
        <v>1105</v>
      </c>
    </row>
    <row r="55" customFormat="false" ht="39.55" hidden="false" customHeight="false" outlineLevel="0" collapsed="false">
      <c r="A55" s="28" t="s">
        <v>732</v>
      </c>
      <c r="B55" s="5" t="s">
        <v>1106</v>
      </c>
      <c r="C55" s="5" t="s">
        <v>156</v>
      </c>
      <c r="D55" s="5" t="s">
        <v>133</v>
      </c>
      <c r="E55" s="5" t="s">
        <v>503</v>
      </c>
      <c r="F55" s="5" t="s">
        <v>607</v>
      </c>
      <c r="G55" s="5" t="s">
        <v>127</v>
      </c>
      <c r="H55" s="5" t="s">
        <v>752</v>
      </c>
      <c r="I55" s="15" t="n">
        <v>44589</v>
      </c>
      <c r="J55" s="5" t="n">
        <v>2022</v>
      </c>
      <c r="K55" s="26" t="n">
        <v>525478.07</v>
      </c>
      <c r="L55" s="5" t="s">
        <v>166</v>
      </c>
      <c r="M55" s="5" t="s">
        <v>994</v>
      </c>
      <c r="N55" s="5" t="s">
        <v>983</v>
      </c>
      <c r="O55" s="5" t="s">
        <v>984</v>
      </c>
      <c r="P55" s="5" t="s">
        <v>703</v>
      </c>
      <c r="Q55" s="5" t="s">
        <v>992</v>
      </c>
      <c r="R55" s="5" t="s">
        <v>1006</v>
      </c>
      <c r="S55" s="5" t="s">
        <v>1104</v>
      </c>
      <c r="T55" s="5" t="s">
        <v>986</v>
      </c>
      <c r="U55" s="5" t="s">
        <v>506</v>
      </c>
      <c r="V55" s="5" t="s">
        <v>133</v>
      </c>
      <c r="W55" s="5" t="s">
        <v>492</v>
      </c>
      <c r="X55" s="5" t="s">
        <v>493</v>
      </c>
      <c r="Y55" s="5" t="s">
        <v>494</v>
      </c>
      <c r="Z55" s="5" t="s">
        <v>1001</v>
      </c>
      <c r="AA55" s="5" t="s">
        <v>1002</v>
      </c>
      <c r="AB55" s="5"/>
      <c r="AC55" s="5" t="s">
        <v>989</v>
      </c>
    </row>
    <row r="56" customFormat="false" ht="39.55" hidden="false" customHeight="false" outlineLevel="0" collapsed="false">
      <c r="A56" s="28" t="s">
        <v>733</v>
      </c>
      <c r="B56" s="5" t="s">
        <v>1107</v>
      </c>
      <c r="C56" s="5" t="s">
        <v>156</v>
      </c>
      <c r="D56" s="5" t="s">
        <v>133</v>
      </c>
      <c r="E56" s="5" t="s">
        <v>503</v>
      </c>
      <c r="F56" s="5" t="s">
        <v>607</v>
      </c>
      <c r="G56" s="5" t="s">
        <v>127</v>
      </c>
      <c r="H56" s="5" t="s">
        <v>752</v>
      </c>
      <c r="I56" s="15" t="n">
        <v>44589</v>
      </c>
      <c r="J56" s="5" t="n">
        <v>2022</v>
      </c>
      <c r="K56" s="26" t="n">
        <v>525478.07</v>
      </c>
      <c r="L56" s="5" t="s">
        <v>133</v>
      </c>
      <c r="M56" s="5" t="s">
        <v>994</v>
      </c>
      <c r="N56" s="5" t="s">
        <v>983</v>
      </c>
      <c r="O56" s="5" t="s">
        <v>984</v>
      </c>
      <c r="P56" s="5" t="s">
        <v>703</v>
      </c>
      <c r="Q56" s="5" t="s">
        <v>992</v>
      </c>
      <c r="R56" s="5" t="s">
        <v>1006</v>
      </c>
      <c r="S56" s="5" t="s">
        <v>1000</v>
      </c>
      <c r="T56" s="5" t="s">
        <v>986</v>
      </c>
      <c r="U56" s="5" t="s">
        <v>506</v>
      </c>
      <c r="V56" s="5" t="s">
        <v>133</v>
      </c>
      <c r="W56" s="5" t="s">
        <v>492</v>
      </c>
      <c r="X56" s="5" t="s">
        <v>493</v>
      </c>
      <c r="Y56" s="5" t="s">
        <v>494</v>
      </c>
      <c r="Z56" s="5" t="s">
        <v>1001</v>
      </c>
      <c r="AA56" s="5" t="s">
        <v>1002</v>
      </c>
      <c r="AB56" s="5"/>
      <c r="AC56" s="5" t="s">
        <v>989</v>
      </c>
    </row>
    <row r="57" customFormat="false" ht="26.85" hidden="false" customHeight="false" outlineLevel="0" collapsed="false">
      <c r="A57" s="28" t="s">
        <v>767</v>
      </c>
      <c r="B57" s="5" t="s">
        <v>768</v>
      </c>
      <c r="C57" s="5" t="s">
        <v>156</v>
      </c>
      <c r="D57" s="5" t="s">
        <v>133</v>
      </c>
      <c r="E57" s="5" t="s">
        <v>503</v>
      </c>
      <c r="F57" s="5" t="s">
        <v>607</v>
      </c>
      <c r="G57" s="5" t="s">
        <v>127</v>
      </c>
      <c r="H57" s="5" t="s">
        <v>752</v>
      </c>
      <c r="I57" s="15" t="n">
        <v>44833</v>
      </c>
      <c r="J57" s="5" t="n">
        <v>2022</v>
      </c>
      <c r="K57" s="26" t="n">
        <v>437898.36</v>
      </c>
      <c r="L57" s="5" t="s">
        <v>133</v>
      </c>
      <c r="M57" s="5" t="s">
        <v>991</v>
      </c>
      <c r="N57" s="5" t="s">
        <v>983</v>
      </c>
      <c r="O57" s="5" t="s">
        <v>984</v>
      </c>
      <c r="P57" s="5" t="s">
        <v>703</v>
      </c>
      <c r="Q57" s="5" t="s">
        <v>992</v>
      </c>
      <c r="R57" s="5"/>
      <c r="S57" s="5" t="s">
        <v>1104</v>
      </c>
      <c r="T57" s="5" t="s">
        <v>986</v>
      </c>
      <c r="U57" s="5" t="s">
        <v>506</v>
      </c>
      <c r="V57" s="5" t="s">
        <v>133</v>
      </c>
      <c r="W57" s="5" t="s">
        <v>492</v>
      </c>
      <c r="X57" s="5" t="s">
        <v>493</v>
      </c>
      <c r="Y57" s="5" t="s">
        <v>494</v>
      </c>
      <c r="Z57" s="5" t="s">
        <v>764</v>
      </c>
      <c r="AA57" s="5" t="s">
        <v>765</v>
      </c>
      <c r="AB57" s="5"/>
      <c r="AC57" s="5" t="s">
        <v>989</v>
      </c>
    </row>
    <row r="58" customFormat="false" ht="39.55" hidden="false" customHeight="false" outlineLevel="0" collapsed="false">
      <c r="A58" s="28" t="s">
        <v>1108</v>
      </c>
      <c r="B58" s="5" t="s">
        <v>1109</v>
      </c>
      <c r="C58" s="5" t="s">
        <v>156</v>
      </c>
      <c r="D58" s="5" t="s">
        <v>133</v>
      </c>
      <c r="E58" s="5" t="s">
        <v>503</v>
      </c>
      <c r="F58" s="5" t="s">
        <v>607</v>
      </c>
      <c r="G58" s="5" t="s">
        <v>127</v>
      </c>
      <c r="H58" s="5" t="s">
        <v>752</v>
      </c>
      <c r="I58" s="15" t="n">
        <v>44924</v>
      </c>
      <c r="J58" s="5" t="n">
        <v>2022</v>
      </c>
      <c r="K58" s="26" t="n">
        <v>341089.08</v>
      </c>
      <c r="L58" s="5" t="s">
        <v>166</v>
      </c>
      <c r="M58" s="5" t="s">
        <v>994</v>
      </c>
      <c r="N58" s="5" t="s">
        <v>983</v>
      </c>
      <c r="O58" s="5" t="s">
        <v>984</v>
      </c>
      <c r="P58" s="5" t="s">
        <v>703</v>
      </c>
      <c r="Q58" s="5" t="s">
        <v>992</v>
      </c>
      <c r="R58" s="5" t="s">
        <v>1006</v>
      </c>
      <c r="S58" s="5" t="s">
        <v>1104</v>
      </c>
      <c r="T58" s="5" t="s">
        <v>986</v>
      </c>
      <c r="U58" s="5" t="s">
        <v>506</v>
      </c>
      <c r="V58" s="5" t="s">
        <v>133</v>
      </c>
      <c r="W58" s="5" t="s">
        <v>492</v>
      </c>
      <c r="X58" s="5" t="s">
        <v>493</v>
      </c>
      <c r="Y58" s="5" t="s">
        <v>494</v>
      </c>
      <c r="Z58" s="5" t="s">
        <v>1001</v>
      </c>
      <c r="AA58" s="5" t="s">
        <v>1002</v>
      </c>
      <c r="AB58" s="5"/>
      <c r="AC58" s="5" t="s">
        <v>989</v>
      </c>
    </row>
    <row r="59" customFormat="false" ht="39.55" hidden="false" customHeight="false" outlineLevel="0" collapsed="false">
      <c r="A59" s="28" t="s">
        <v>731</v>
      </c>
      <c r="B59" s="5" t="s">
        <v>1110</v>
      </c>
      <c r="C59" s="5" t="s">
        <v>156</v>
      </c>
      <c r="D59" s="5" t="s">
        <v>133</v>
      </c>
      <c r="E59" s="5" t="s">
        <v>503</v>
      </c>
      <c r="F59" s="5" t="s">
        <v>607</v>
      </c>
      <c r="G59" s="5" t="s">
        <v>127</v>
      </c>
      <c r="H59" s="5" t="s">
        <v>752</v>
      </c>
      <c r="I59" s="15" t="n">
        <v>45043</v>
      </c>
      <c r="J59" s="5" t="n">
        <v>2023</v>
      </c>
      <c r="K59" s="26" t="n">
        <v>538004.45</v>
      </c>
      <c r="L59" s="5" t="s">
        <v>166</v>
      </c>
      <c r="M59" s="5" t="s">
        <v>975</v>
      </c>
      <c r="N59" s="5" t="s">
        <v>983</v>
      </c>
      <c r="O59" s="5" t="s">
        <v>984</v>
      </c>
      <c r="P59" s="5" t="s">
        <v>703</v>
      </c>
      <c r="Q59" s="5" t="s">
        <v>992</v>
      </c>
      <c r="R59" s="5"/>
      <c r="S59" s="5" t="s">
        <v>1104</v>
      </c>
      <c r="T59" s="5" t="s">
        <v>986</v>
      </c>
      <c r="U59" s="5" t="s">
        <v>506</v>
      </c>
      <c r="V59" s="5" t="s">
        <v>133</v>
      </c>
      <c r="W59" s="5" t="s">
        <v>492</v>
      </c>
      <c r="X59" s="5" t="s">
        <v>493</v>
      </c>
      <c r="Y59" s="5" t="s">
        <v>494</v>
      </c>
      <c r="Z59" s="5" t="s">
        <v>1001</v>
      </c>
      <c r="AA59" s="5" t="s">
        <v>1002</v>
      </c>
      <c r="AB59" s="5"/>
      <c r="AC59" s="5" t="s">
        <v>989</v>
      </c>
    </row>
    <row r="60" customFormat="false" ht="39.55" hidden="false" customHeight="false" outlineLevel="0" collapsed="false">
      <c r="A60" s="28" t="s">
        <v>1111</v>
      </c>
      <c r="B60" s="5" t="s">
        <v>1112</v>
      </c>
      <c r="C60" s="5" t="s">
        <v>156</v>
      </c>
      <c r="D60" s="5" t="s">
        <v>133</v>
      </c>
      <c r="E60" s="5" t="s">
        <v>503</v>
      </c>
      <c r="F60" s="5" t="s">
        <v>607</v>
      </c>
      <c r="G60" s="5" t="s">
        <v>127</v>
      </c>
      <c r="H60" s="5" t="s">
        <v>752</v>
      </c>
      <c r="I60" s="15" t="n">
        <v>45288</v>
      </c>
      <c r="J60" s="5" t="n">
        <v>2023</v>
      </c>
      <c r="K60" s="26" t="n">
        <v>358669.57</v>
      </c>
      <c r="L60" s="5" t="s">
        <v>166</v>
      </c>
      <c r="M60" s="5" t="s">
        <v>994</v>
      </c>
      <c r="N60" s="5" t="s">
        <v>976</v>
      </c>
      <c r="O60" s="5" t="s">
        <v>984</v>
      </c>
      <c r="P60" s="5" t="s">
        <v>703</v>
      </c>
      <c r="Q60" s="5" t="s">
        <v>992</v>
      </c>
      <c r="R60" s="5"/>
      <c r="S60" s="5"/>
      <c r="T60" s="5" t="s">
        <v>986</v>
      </c>
      <c r="U60" s="5" t="s">
        <v>506</v>
      </c>
      <c r="V60" s="5" t="s">
        <v>133</v>
      </c>
      <c r="W60" s="5" t="s">
        <v>492</v>
      </c>
      <c r="X60" s="5" t="s">
        <v>987</v>
      </c>
      <c r="Y60" s="5" t="s">
        <v>1113</v>
      </c>
      <c r="Z60" s="5" t="s">
        <v>1001</v>
      </c>
      <c r="AA60" s="5" t="s">
        <v>1002</v>
      </c>
      <c r="AB60" s="5"/>
      <c r="AC60" s="5" t="s">
        <v>993</v>
      </c>
    </row>
    <row r="61" customFormat="false" ht="39.55" hidden="false" customHeight="false" outlineLevel="0" collapsed="false">
      <c r="A61" s="28" t="s">
        <v>1114</v>
      </c>
      <c r="B61" s="5" t="s">
        <v>1115</v>
      </c>
      <c r="C61" s="5" t="s">
        <v>156</v>
      </c>
      <c r="D61" s="5" t="s">
        <v>133</v>
      </c>
      <c r="E61" s="5" t="s">
        <v>503</v>
      </c>
      <c r="F61" s="5" t="s">
        <v>607</v>
      </c>
      <c r="G61" s="5" t="s">
        <v>127</v>
      </c>
      <c r="H61" s="5" t="s">
        <v>752</v>
      </c>
      <c r="I61" s="15" t="n">
        <v>45403</v>
      </c>
      <c r="J61" s="5" t="n">
        <v>2024</v>
      </c>
      <c r="K61" s="26" t="n">
        <v>309498.58</v>
      </c>
      <c r="L61" s="5" t="s">
        <v>166</v>
      </c>
      <c r="M61" s="5" t="s">
        <v>994</v>
      </c>
      <c r="N61" s="5" t="s">
        <v>976</v>
      </c>
      <c r="O61" s="5" t="s">
        <v>984</v>
      </c>
      <c r="P61" s="5" t="s">
        <v>703</v>
      </c>
      <c r="Q61" s="5" t="s">
        <v>992</v>
      </c>
      <c r="R61" s="5"/>
      <c r="S61" s="5" t="s">
        <v>1104</v>
      </c>
      <c r="T61" s="5" t="s">
        <v>986</v>
      </c>
      <c r="U61" s="5" t="s">
        <v>506</v>
      </c>
      <c r="V61" s="5" t="s">
        <v>133</v>
      </c>
      <c r="W61" s="5" t="s">
        <v>492</v>
      </c>
      <c r="X61" s="5" t="s">
        <v>493</v>
      </c>
      <c r="Y61" s="5" t="s">
        <v>494</v>
      </c>
      <c r="Z61" s="5" t="s">
        <v>1001</v>
      </c>
      <c r="AA61" s="5" t="s">
        <v>1002</v>
      </c>
      <c r="AB61" s="5"/>
      <c r="AC61" s="5" t="s">
        <v>981</v>
      </c>
    </row>
    <row r="62" customFormat="false" ht="39.55" hidden="false" customHeight="false" outlineLevel="0" collapsed="false">
      <c r="A62" s="28" t="s">
        <v>1116</v>
      </c>
      <c r="B62" s="5" t="s">
        <v>1117</v>
      </c>
      <c r="C62" s="5" t="s">
        <v>156</v>
      </c>
      <c r="D62" s="5" t="s">
        <v>133</v>
      </c>
      <c r="E62" s="5" t="s">
        <v>503</v>
      </c>
      <c r="F62" s="5" t="s">
        <v>607</v>
      </c>
      <c r="G62" s="5" t="s">
        <v>127</v>
      </c>
      <c r="H62" s="5" t="s">
        <v>752</v>
      </c>
      <c r="I62" s="15" t="n">
        <v>45463</v>
      </c>
      <c r="J62" s="5" t="n">
        <v>2024</v>
      </c>
      <c r="K62" s="26" t="n">
        <v>309498.58</v>
      </c>
      <c r="L62" s="5" t="s">
        <v>133</v>
      </c>
      <c r="M62" s="5" t="s">
        <v>994</v>
      </c>
      <c r="N62" s="5" t="s">
        <v>976</v>
      </c>
      <c r="O62" s="5" t="s">
        <v>984</v>
      </c>
      <c r="P62" s="5" t="s">
        <v>703</v>
      </c>
      <c r="Q62" s="5" t="s">
        <v>992</v>
      </c>
      <c r="R62" s="5"/>
      <c r="S62" s="5" t="s">
        <v>1104</v>
      </c>
      <c r="T62" s="5" t="s">
        <v>986</v>
      </c>
      <c r="U62" s="5" t="s">
        <v>506</v>
      </c>
      <c r="V62" s="5" t="s">
        <v>133</v>
      </c>
      <c r="W62" s="5" t="s">
        <v>492</v>
      </c>
      <c r="X62" s="5" t="s">
        <v>493</v>
      </c>
      <c r="Y62" s="5" t="s">
        <v>494</v>
      </c>
      <c r="Z62" s="5" t="s">
        <v>1001</v>
      </c>
      <c r="AA62" s="5" t="s">
        <v>1002</v>
      </c>
      <c r="AB62" s="5"/>
      <c r="AC62" s="5" t="s">
        <v>993</v>
      </c>
    </row>
    <row r="63" customFormat="false" ht="39.55" hidden="false" customHeight="false" outlineLevel="0" collapsed="false">
      <c r="A63" s="28" t="s">
        <v>1118</v>
      </c>
      <c r="B63" s="5" t="s">
        <v>1119</v>
      </c>
      <c r="C63" s="5" t="s">
        <v>239</v>
      </c>
      <c r="D63" s="5" t="s">
        <v>133</v>
      </c>
      <c r="E63" s="5" t="s">
        <v>236</v>
      </c>
      <c r="F63" s="5" t="s">
        <v>235</v>
      </c>
      <c r="G63" s="5" t="s">
        <v>236</v>
      </c>
      <c r="H63" s="5" t="s">
        <v>752</v>
      </c>
      <c r="I63" s="15" t="n">
        <v>45378</v>
      </c>
      <c r="J63" s="5" t="n">
        <v>2024</v>
      </c>
      <c r="K63" s="26" t="n">
        <v>288865.44</v>
      </c>
      <c r="L63" s="5" t="s">
        <v>166</v>
      </c>
      <c r="M63" s="5" t="s">
        <v>994</v>
      </c>
      <c r="N63" s="5" t="s">
        <v>976</v>
      </c>
      <c r="O63" s="5" t="s">
        <v>977</v>
      </c>
      <c r="P63" s="5" t="s">
        <v>706</v>
      </c>
      <c r="Q63" s="5" t="s">
        <v>978</v>
      </c>
      <c r="R63" s="5" t="s">
        <v>1055</v>
      </c>
      <c r="S63" s="5" t="s">
        <v>1120</v>
      </c>
      <c r="T63" s="5" t="s">
        <v>1027</v>
      </c>
      <c r="U63" s="5" t="s">
        <v>516</v>
      </c>
      <c r="V63" s="5" t="s">
        <v>166</v>
      </c>
      <c r="W63" s="5" t="s">
        <v>492</v>
      </c>
      <c r="X63" s="5" t="s">
        <v>493</v>
      </c>
      <c r="Y63" s="5" t="s">
        <v>494</v>
      </c>
      <c r="Z63" s="5" t="s">
        <v>1001</v>
      </c>
      <c r="AA63" s="5" t="s">
        <v>1002</v>
      </c>
      <c r="AB63" s="5"/>
      <c r="AC63" s="5" t="s">
        <v>993</v>
      </c>
    </row>
    <row r="64" customFormat="false" ht="39.55" hidden="false" customHeight="false" outlineLevel="0" collapsed="false">
      <c r="A64" s="28" t="s">
        <v>1121</v>
      </c>
      <c r="B64" s="5" t="s">
        <v>1122</v>
      </c>
      <c r="C64" s="5" t="s">
        <v>239</v>
      </c>
      <c r="D64" s="5" t="s">
        <v>133</v>
      </c>
      <c r="E64" s="5" t="s">
        <v>236</v>
      </c>
      <c r="F64" s="5" t="s">
        <v>235</v>
      </c>
      <c r="G64" s="5" t="s">
        <v>236</v>
      </c>
      <c r="H64" s="5" t="s">
        <v>791</v>
      </c>
      <c r="I64" s="15" t="n">
        <v>45929</v>
      </c>
      <c r="J64" s="5" t="n">
        <v>2025</v>
      </c>
      <c r="K64" s="26" t="n">
        <v>215662.5</v>
      </c>
      <c r="L64" s="5" t="s">
        <v>166</v>
      </c>
      <c r="M64" s="5" t="s">
        <v>994</v>
      </c>
      <c r="N64" s="5" t="s">
        <v>976</v>
      </c>
      <c r="O64" s="5" t="s">
        <v>1123</v>
      </c>
      <c r="P64" s="5" t="s">
        <v>706</v>
      </c>
      <c r="Q64" s="5" t="s">
        <v>978</v>
      </c>
      <c r="R64" s="5" t="s">
        <v>1124</v>
      </c>
      <c r="S64" s="5" t="s">
        <v>1125</v>
      </c>
      <c r="T64" s="5" t="s">
        <v>1027</v>
      </c>
      <c r="U64" s="5" t="s">
        <v>516</v>
      </c>
      <c r="V64" s="5" t="s">
        <v>166</v>
      </c>
      <c r="W64" s="5" t="s">
        <v>492</v>
      </c>
      <c r="X64" s="5" t="s">
        <v>493</v>
      </c>
      <c r="Y64" s="5" t="s">
        <v>494</v>
      </c>
      <c r="Z64" s="5" t="s">
        <v>1001</v>
      </c>
      <c r="AA64" s="5" t="s">
        <v>1002</v>
      </c>
      <c r="AB64" s="5"/>
      <c r="AC64" s="5" t="s">
        <v>993</v>
      </c>
    </row>
    <row r="65" customFormat="false" ht="39.55" hidden="false" customHeight="false" outlineLevel="0" collapsed="false">
      <c r="A65" s="28" t="s">
        <v>1126</v>
      </c>
      <c r="B65" s="5" t="s">
        <v>1127</v>
      </c>
      <c r="C65" s="5" t="s">
        <v>230</v>
      </c>
      <c r="D65" s="5" t="s">
        <v>133</v>
      </c>
      <c r="E65" s="5" t="s">
        <v>488</v>
      </c>
      <c r="F65" s="5" t="s">
        <v>226</v>
      </c>
      <c r="G65" s="5" t="s">
        <v>227</v>
      </c>
      <c r="H65" s="5" t="s">
        <v>791</v>
      </c>
      <c r="I65" s="15" t="n">
        <v>44120</v>
      </c>
      <c r="J65" s="5" t="n">
        <v>2020</v>
      </c>
      <c r="K65" s="26" t="n">
        <v>185503.58</v>
      </c>
      <c r="L65" s="5" t="s">
        <v>166</v>
      </c>
      <c r="M65" s="5" t="s">
        <v>975</v>
      </c>
      <c r="N65" s="5" t="s">
        <v>983</v>
      </c>
      <c r="O65" s="5" t="s">
        <v>1009</v>
      </c>
      <c r="P65" s="5" t="s">
        <v>704</v>
      </c>
      <c r="Q65" s="5" t="s">
        <v>978</v>
      </c>
      <c r="R65" s="5"/>
      <c r="S65" s="5" t="s">
        <v>1128</v>
      </c>
      <c r="T65" s="5" t="s">
        <v>1008</v>
      </c>
      <c r="U65" s="5" t="s">
        <v>491</v>
      </c>
      <c r="V65" s="5" t="s">
        <v>133</v>
      </c>
      <c r="W65" s="5" t="s">
        <v>492</v>
      </c>
      <c r="X65" s="5" t="s">
        <v>987</v>
      </c>
      <c r="Y65" s="5" t="s">
        <v>494</v>
      </c>
      <c r="Z65" s="5" t="s">
        <v>1001</v>
      </c>
      <c r="AA65" s="5" t="s">
        <v>1002</v>
      </c>
      <c r="AB65" s="5"/>
      <c r="AC65" s="5" t="s">
        <v>989</v>
      </c>
    </row>
    <row r="66" customFormat="false" ht="39.55" hidden="false" customHeight="false" outlineLevel="0" collapsed="false">
      <c r="A66" s="28" t="s">
        <v>1129</v>
      </c>
      <c r="B66" s="5" t="s">
        <v>1130</v>
      </c>
      <c r="C66" s="5" t="s">
        <v>212</v>
      </c>
      <c r="D66" s="5" t="s">
        <v>133</v>
      </c>
      <c r="E66" s="5" t="s">
        <v>616</v>
      </c>
      <c r="F66" s="5" t="s">
        <v>278</v>
      </c>
      <c r="G66" s="5" t="s">
        <v>208</v>
      </c>
      <c r="H66" s="5" t="s">
        <v>752</v>
      </c>
      <c r="I66" s="15" t="n">
        <v>45437</v>
      </c>
      <c r="J66" s="5" t="n">
        <v>2024</v>
      </c>
      <c r="K66" s="26" t="n">
        <v>103166.25</v>
      </c>
      <c r="L66" s="5" t="s">
        <v>166</v>
      </c>
      <c r="M66" s="5" t="s">
        <v>975</v>
      </c>
      <c r="N66" s="5" t="s">
        <v>976</v>
      </c>
      <c r="O66" s="5" t="s">
        <v>1009</v>
      </c>
      <c r="P66" s="5" t="s">
        <v>704</v>
      </c>
      <c r="Q66" s="5" t="s">
        <v>978</v>
      </c>
      <c r="R66" s="5"/>
      <c r="S66" s="5" t="s">
        <v>1131</v>
      </c>
      <c r="T66" s="5" t="s">
        <v>1047</v>
      </c>
      <c r="U66" s="5" t="s">
        <v>665</v>
      </c>
      <c r="V66" s="5" t="s">
        <v>133</v>
      </c>
      <c r="W66" s="5" t="s">
        <v>492</v>
      </c>
      <c r="X66" s="5" t="s">
        <v>493</v>
      </c>
      <c r="Y66" s="5" t="s">
        <v>494</v>
      </c>
      <c r="Z66" s="5" t="s">
        <v>1001</v>
      </c>
      <c r="AA66" s="5" t="s">
        <v>1002</v>
      </c>
      <c r="AB66" s="5"/>
      <c r="AC66" s="5" t="s">
        <v>981</v>
      </c>
    </row>
    <row r="67" customFormat="false" ht="39.55" hidden="false" customHeight="false" outlineLevel="0" collapsed="false">
      <c r="A67" s="28" t="s">
        <v>1132</v>
      </c>
      <c r="B67" s="5" t="s">
        <v>1133</v>
      </c>
      <c r="C67" s="5" t="s">
        <v>654</v>
      </c>
      <c r="D67" s="5" t="s">
        <v>133</v>
      </c>
      <c r="E67" s="5" t="s">
        <v>616</v>
      </c>
      <c r="F67" s="5" t="s">
        <v>338</v>
      </c>
      <c r="G67" s="5" t="s">
        <v>208</v>
      </c>
      <c r="H67" s="5" t="s">
        <v>752</v>
      </c>
      <c r="I67" s="15" t="n">
        <v>43955</v>
      </c>
      <c r="J67" s="5" t="n">
        <v>2020</v>
      </c>
      <c r="K67" s="26" t="n">
        <v>185503.58</v>
      </c>
      <c r="L67" s="5" t="s">
        <v>166</v>
      </c>
      <c r="M67" s="5" t="s">
        <v>994</v>
      </c>
      <c r="N67" s="5" t="s">
        <v>983</v>
      </c>
      <c r="O67" s="5" t="s">
        <v>1042</v>
      </c>
      <c r="P67" s="5" t="s">
        <v>705</v>
      </c>
      <c r="Q67" s="5" t="s">
        <v>1061</v>
      </c>
      <c r="R67" s="5" t="s">
        <v>1134</v>
      </c>
      <c r="S67" s="5" t="s">
        <v>1093</v>
      </c>
      <c r="T67" s="5" t="s">
        <v>1047</v>
      </c>
      <c r="U67" s="5" t="s">
        <v>665</v>
      </c>
      <c r="V67" s="5" t="s">
        <v>133</v>
      </c>
      <c r="W67" s="5" t="s">
        <v>492</v>
      </c>
      <c r="X67" s="5" t="s">
        <v>987</v>
      </c>
      <c r="Y67" s="5" t="s">
        <v>494</v>
      </c>
      <c r="Z67" s="5" t="s">
        <v>1001</v>
      </c>
      <c r="AA67" s="5" t="s">
        <v>1002</v>
      </c>
      <c r="AB67" s="5"/>
      <c r="AC67" s="5" t="s">
        <v>989</v>
      </c>
    </row>
    <row r="68" customFormat="false" ht="39.55" hidden="false" customHeight="false" outlineLevel="0" collapsed="false">
      <c r="A68" s="28" t="s">
        <v>1135</v>
      </c>
      <c r="B68" s="5" t="s">
        <v>1136</v>
      </c>
      <c r="C68" s="5" t="s">
        <v>654</v>
      </c>
      <c r="D68" s="5" t="s">
        <v>133</v>
      </c>
      <c r="E68" s="5" t="s">
        <v>616</v>
      </c>
      <c r="F68" s="5" t="s">
        <v>338</v>
      </c>
      <c r="G68" s="5" t="s">
        <v>208</v>
      </c>
      <c r="H68" s="5" t="s">
        <v>752</v>
      </c>
      <c r="I68" s="15" t="n">
        <v>44120</v>
      </c>
      <c r="J68" s="5" t="n">
        <v>2020</v>
      </c>
      <c r="K68" s="26" t="n">
        <v>278255.46</v>
      </c>
      <c r="L68" s="5" t="s">
        <v>166</v>
      </c>
      <c r="M68" s="5" t="s">
        <v>994</v>
      </c>
      <c r="N68" s="5" t="s">
        <v>983</v>
      </c>
      <c r="O68" s="5" t="s">
        <v>984</v>
      </c>
      <c r="P68" s="5" t="s">
        <v>703</v>
      </c>
      <c r="Q68" s="5" t="s">
        <v>978</v>
      </c>
      <c r="R68" s="5" t="s">
        <v>1137</v>
      </c>
      <c r="S68" s="5" t="s">
        <v>1093</v>
      </c>
      <c r="T68" s="5" t="s">
        <v>1047</v>
      </c>
      <c r="U68" s="5" t="s">
        <v>665</v>
      </c>
      <c r="V68" s="5" t="s">
        <v>133</v>
      </c>
      <c r="W68" s="5" t="s">
        <v>492</v>
      </c>
      <c r="X68" s="5" t="s">
        <v>987</v>
      </c>
      <c r="Y68" s="5" t="s">
        <v>494</v>
      </c>
      <c r="Z68" s="5" t="s">
        <v>1001</v>
      </c>
      <c r="AA68" s="5" t="s">
        <v>1002</v>
      </c>
      <c r="AB68" s="5"/>
      <c r="AC68" s="5" t="s">
        <v>989</v>
      </c>
    </row>
    <row r="69" customFormat="false" ht="39.55" hidden="false" customHeight="false" outlineLevel="0" collapsed="false">
      <c r="A69" s="28" t="s">
        <v>1138</v>
      </c>
      <c r="B69" s="5" t="s">
        <v>1139</v>
      </c>
      <c r="C69" s="5" t="s">
        <v>654</v>
      </c>
      <c r="D69" s="5" t="s">
        <v>133</v>
      </c>
      <c r="E69" s="5" t="s">
        <v>616</v>
      </c>
      <c r="F69" s="5" t="s">
        <v>338</v>
      </c>
      <c r="G69" s="5" t="s">
        <v>208</v>
      </c>
      <c r="H69" s="5" t="s">
        <v>804</v>
      </c>
      <c r="I69" s="15" t="n">
        <v>46283</v>
      </c>
      <c r="J69" s="5" t="n">
        <v>2026</v>
      </c>
      <c r="K69" s="26" t="n">
        <v>450000</v>
      </c>
      <c r="L69" s="5" t="s">
        <v>166</v>
      </c>
      <c r="M69" s="5" t="s">
        <v>994</v>
      </c>
      <c r="N69" s="5" t="s">
        <v>976</v>
      </c>
      <c r="O69" s="5" t="s">
        <v>984</v>
      </c>
      <c r="P69" s="5" t="s">
        <v>703</v>
      </c>
      <c r="Q69" s="5" t="s">
        <v>978</v>
      </c>
      <c r="R69" s="5" t="s">
        <v>1062</v>
      </c>
      <c r="S69" s="5" t="s">
        <v>1131</v>
      </c>
      <c r="T69" s="5" t="s">
        <v>1027</v>
      </c>
      <c r="U69" s="5" t="s">
        <v>516</v>
      </c>
      <c r="V69" s="5" t="s">
        <v>166</v>
      </c>
      <c r="W69" s="5" t="s">
        <v>492</v>
      </c>
      <c r="X69" s="5" t="s">
        <v>493</v>
      </c>
      <c r="Y69" s="5" t="s">
        <v>494</v>
      </c>
      <c r="Z69" s="5" t="s">
        <v>1001</v>
      </c>
      <c r="AA69" s="5" t="s">
        <v>1002</v>
      </c>
      <c r="AB69" s="5"/>
      <c r="AC69" s="5" t="s">
        <v>993</v>
      </c>
    </row>
    <row r="70" customFormat="false" ht="39.55" hidden="false" customHeight="false" outlineLevel="0" collapsed="false">
      <c r="A70" s="28" t="s">
        <v>1140</v>
      </c>
      <c r="B70" s="5" t="s">
        <v>1141</v>
      </c>
      <c r="C70" s="5" t="s">
        <v>1142</v>
      </c>
      <c r="D70" s="5" t="s">
        <v>166</v>
      </c>
      <c r="E70" s="5" t="s">
        <v>1143</v>
      </c>
      <c r="F70" s="5"/>
      <c r="G70" s="5"/>
      <c r="H70" s="5" t="s">
        <v>791</v>
      </c>
      <c r="I70" s="15" t="n">
        <v>43860</v>
      </c>
      <c r="J70" s="5" t="n">
        <v>2020</v>
      </c>
      <c r="K70" s="26" t="n">
        <v>157643.37</v>
      </c>
      <c r="L70" s="5" t="s">
        <v>166</v>
      </c>
      <c r="M70" s="5" t="s">
        <v>994</v>
      </c>
      <c r="N70" s="5" t="s">
        <v>976</v>
      </c>
      <c r="O70" s="5" t="s">
        <v>1034</v>
      </c>
      <c r="P70" s="5" t="s">
        <v>707</v>
      </c>
      <c r="Q70" s="5" t="s">
        <v>1035</v>
      </c>
      <c r="R70" s="5"/>
      <c r="S70" s="5"/>
      <c r="T70" s="5" t="s">
        <v>1144</v>
      </c>
      <c r="U70" s="5" t="s">
        <v>1145</v>
      </c>
      <c r="V70" s="5" t="s">
        <v>166</v>
      </c>
      <c r="W70" s="5" t="s">
        <v>1146</v>
      </c>
      <c r="X70" s="5" t="s">
        <v>987</v>
      </c>
      <c r="Y70" s="5" t="s">
        <v>494</v>
      </c>
      <c r="Z70" s="5" t="s">
        <v>764</v>
      </c>
      <c r="AA70" s="5" t="s">
        <v>787</v>
      </c>
      <c r="AB70" s="5"/>
      <c r="AC70" s="5" t="s">
        <v>1105</v>
      </c>
    </row>
    <row r="71" customFormat="false" ht="39.55" hidden="false" customHeight="false" outlineLevel="0" collapsed="false">
      <c r="A71" s="28" t="s">
        <v>1147</v>
      </c>
      <c r="B71" s="5" t="s">
        <v>1148</v>
      </c>
      <c r="C71" s="5" t="s">
        <v>1149</v>
      </c>
      <c r="D71" s="5" t="s">
        <v>166</v>
      </c>
      <c r="E71" s="5" t="s">
        <v>1143</v>
      </c>
      <c r="F71" s="5"/>
      <c r="G71" s="5"/>
      <c r="H71" s="5" t="s">
        <v>791</v>
      </c>
      <c r="I71" s="15" t="n">
        <v>43664</v>
      </c>
      <c r="J71" s="5" t="n">
        <v>2019</v>
      </c>
      <c r="K71" s="26" t="n">
        <v>231879.52</v>
      </c>
      <c r="L71" s="5" t="s">
        <v>166</v>
      </c>
      <c r="M71" s="5" t="s">
        <v>1043</v>
      </c>
      <c r="N71" s="5" t="s">
        <v>976</v>
      </c>
      <c r="O71" s="5" t="s">
        <v>1150</v>
      </c>
      <c r="P71" s="5" t="s">
        <v>707</v>
      </c>
      <c r="Q71" s="5" t="s">
        <v>1151</v>
      </c>
      <c r="R71" s="5"/>
      <c r="S71" s="5"/>
      <c r="T71" s="5" t="s">
        <v>1144</v>
      </c>
      <c r="U71" s="5" t="s">
        <v>1145</v>
      </c>
      <c r="V71" s="5" t="s">
        <v>166</v>
      </c>
      <c r="W71" s="5" t="s">
        <v>1146</v>
      </c>
      <c r="X71" s="5" t="s">
        <v>987</v>
      </c>
      <c r="Y71" s="5" t="s">
        <v>494</v>
      </c>
      <c r="Z71" s="5" t="s">
        <v>764</v>
      </c>
      <c r="AA71" s="5" t="s">
        <v>1152</v>
      </c>
      <c r="AB71" s="5"/>
      <c r="AC71" s="5" t="s">
        <v>1153</v>
      </c>
    </row>
  </sheetData>
  <autoFilter ref="A1:AC71"/>
  <conditionalFormatting sqref="H2:H71">
    <cfRule type="cellIs" priority="2" operator="equal" aboveAverage="0" equalAverage="0" bottom="0" percent="0" rank="0" text="" dxfId="9">
      <formula>"Ganada"</formula>
    </cfRule>
    <cfRule type="cellIs" priority="3" operator="equal" aboveAverage="0" equalAverage="0" bottom="0" percent="0" rank="0" text="" dxfId="10">
      <formula>"Perdida"</formula>
    </cfRule>
    <cfRule type="cellIs" priority="4" operator="equal" aboveAverage="0" equalAverage="0" bottom="0" percent="0" rank="0" text="" dxfId="11">
      <formula>"Abierta"</formula>
    </cfRule>
  </conditionalFormatting>
  <conditionalFormatting sqref="V2:V71">
    <cfRule type="cellIs" priority="5" operator="equal" aboveAverage="0" equalAverage="0" bottom="0" percent="0" rank="0" text="" dxfId="11">
      <formula>"Sí"</formula>
    </cfRule>
  </conditionalFormatting>
  <conditionalFormatting sqref="Z2:Z71">
    <cfRule type="expression" priority="6" aboveAverage="0" equalAverage="0" bottom="0" percent="0" rank="0" text="" dxfId="13">
      <formula>$Z2&lt;&gt;"Elegible"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2026-10-15T01:08:23Z</dcterms:created>
  <dc:creator>openpyxl</dc:creator>
  <dc:description/>
  <dc:language>en-US</dc:language>
  <cp:lastModifiedBy/>
  <dcterms:modified xsi:type="dcterms:W3CDTF">2026-10-15T01:08:23Z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